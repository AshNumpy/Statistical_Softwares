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Statistical-Softwares\Excel\"/>
    </mc:Choice>
  </mc:AlternateContent>
  <xr:revisionPtr revIDLastSave="0" documentId="13_ncr:1_{67E22A67-76E1-4598-802E-C0B057283D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" sheetId="2" r:id="rId1"/>
    <sheet name="11 Regresyon" sheetId="7" r:id="rId2"/>
    <sheet name="3.4 Aykırı değer" sheetId="4" r:id="rId3"/>
    <sheet name="6.2.3 Ortalamalar farkı" sheetId="5" r:id="rId4"/>
    <sheet name="7.4 Oranlar farkı" sheetId="6" r:id="rId5"/>
    <sheet name="8.2 Tek Ortalama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" l="1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B45" i="6"/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</calcChain>
</file>

<file path=xl/sharedStrings.xml><?xml version="1.0" encoding="utf-8"?>
<sst xmlns="http://schemas.openxmlformats.org/spreadsheetml/2006/main" count="482" uniqueCount="125">
  <si>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</si>
  <si>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</si>
  <si>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</si>
  <si>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</si>
  <si>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</si>
  <si>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</si>
  <si>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</si>
  <si>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</si>
  <si>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</si>
  <si>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</si>
  <si>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</si>
  <si>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</si>
  <si>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</si>
  <si>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</si>
  <si>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</si>
  <si>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</si>
  <si>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</si>
  <si>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</si>
  <si>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</si>
  <si>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</si>
  <si>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</si>
  <si>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</si>
  <si>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</si>
  <si>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</si>
  <si>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</si>
  <si>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</si>
  <si>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</si>
  <si>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</si>
  <si>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</si>
  <si>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2n Cycle</t>
  </si>
  <si>
    <t>Married</t>
  </si>
  <si>
    <t>Graduation</t>
  </si>
  <si>
    <t>Divorced</t>
  </si>
  <si>
    <t>Single</t>
  </si>
  <si>
    <t>Master</t>
  </si>
  <si>
    <t>Together</t>
  </si>
  <si>
    <t>PhD</t>
  </si>
  <si>
    <t>Widow</t>
  </si>
  <si>
    <t>YOLO</t>
  </si>
  <si>
    <t>Aykırı değer</t>
  </si>
  <si>
    <t>Çeyreklikler</t>
  </si>
  <si>
    <t>Değerler</t>
  </si>
  <si>
    <t>Q1</t>
  </si>
  <si>
    <t>Q3</t>
  </si>
  <si>
    <t>IQR</t>
  </si>
  <si>
    <t>L Bound</t>
  </si>
  <si>
    <t>U Bound</t>
  </si>
  <si>
    <t>Aykırı değerimiz yok</t>
  </si>
  <si>
    <t>Hipotezler</t>
  </si>
  <si>
    <t>H0: Ortalamalar arasında fark yoktur.</t>
  </si>
  <si>
    <t>Ortalama</t>
  </si>
  <si>
    <t>Hs: Ortalamalar arasında fark vardır.</t>
  </si>
  <si>
    <t>Standart Hata</t>
  </si>
  <si>
    <t>Ortanca</t>
  </si>
  <si>
    <t>"Varyanslar biliniyor"</t>
  </si>
  <si>
    <t>Standart Sapma</t>
  </si>
  <si>
    <t>Örnek Varyans</t>
  </si>
  <si>
    <t>Basıklık</t>
  </si>
  <si>
    <t>Çarpıklık</t>
  </si>
  <si>
    <t>Aralık</t>
  </si>
  <si>
    <t>En Büyük</t>
  </si>
  <si>
    <t>En Küçük</t>
  </si>
  <si>
    <t>Toplam</t>
  </si>
  <si>
    <t>Say</t>
  </si>
  <si>
    <t>z-Test: Ortalamalar İçin İki Örnek</t>
  </si>
  <si>
    <t>Değişken 1</t>
  </si>
  <si>
    <t>Değişken 2</t>
  </si>
  <si>
    <t>Bilinen Varyans</t>
  </si>
  <si>
    <t>Gözlem</t>
  </si>
  <si>
    <t>Öngörülen Ortalama Farkı</t>
  </si>
  <si>
    <t>z</t>
  </si>
  <si>
    <t>P(Z&lt;=z) tek-uçlu</t>
  </si>
  <si>
    <t>z Kritik tek-uçlu</t>
  </si>
  <si>
    <t>P(Z&lt;=z) iki-uçlu</t>
  </si>
  <si>
    <t>z Kritik iki-uçlu</t>
  </si>
  <si>
    <t>toplam=</t>
  </si>
  <si>
    <t>H0: P~married~ - P~together~ = 0</t>
  </si>
  <si>
    <t>n=</t>
  </si>
  <si>
    <t>toplam şarap alan kişi sayısı =</t>
  </si>
  <si>
    <t>Hs: P~married~ &gt; P~together~</t>
  </si>
  <si>
    <t>Z~hesap~ &gt; Z~kritik~ için H0 reddedilir.</t>
  </si>
  <si>
    <t>Evlilerin şarap alım oranı bekarların şarap alım oranından fazladır.</t>
  </si>
  <si>
    <t>ÖZET ÇIKIŞI</t>
  </si>
  <si>
    <t>Regresyon İstatistikleri</t>
  </si>
  <si>
    <t>Çoklu R</t>
  </si>
  <si>
    <t>R Kare</t>
  </si>
  <si>
    <t>Ayarlı R Kare</t>
  </si>
  <si>
    <t>ANOVA</t>
  </si>
  <si>
    <t>Regresyon</t>
  </si>
  <si>
    <t>Fark</t>
  </si>
  <si>
    <t>Kesişim</t>
  </si>
  <si>
    <t>df</t>
  </si>
  <si>
    <t>SS</t>
  </si>
  <si>
    <t>MS</t>
  </si>
  <si>
    <t>F</t>
  </si>
  <si>
    <t>Anlamlılık F</t>
  </si>
  <si>
    <t>Katsayılar</t>
  </si>
  <si>
    <t>t Stat</t>
  </si>
  <si>
    <t>P-değeri</t>
  </si>
  <si>
    <t>Düşük %95</t>
  </si>
  <si>
    <t>Yüksek %95</t>
  </si>
  <si>
    <t>Düşük 95,0%</t>
  </si>
  <si>
    <t>Yüksek 95,0%</t>
  </si>
  <si>
    <t>X Değişkeni 1</t>
  </si>
  <si>
    <t>OLASILIK ÇIKIŞI</t>
  </si>
  <si>
    <t>Yüzdebirlik</t>
  </si>
  <si>
    <t>Y</t>
  </si>
  <si>
    <t>Income (X)</t>
  </si>
  <si>
    <t>MntMeatProducts(Y)</t>
  </si>
  <si>
    <t>"=&gt;"</t>
  </si>
  <si>
    <t>Gelir düzeyi ile et alımı arasında %78 lik bir düzeyde pozitif yönlü bir ilişki vardır</t>
  </si>
  <si>
    <t xml:space="preserve">Et alımındaki çeşitliliğin %60,8 ini gelir değişkenine atfedebiliriz. </t>
  </si>
  <si>
    <t>P &lt; 0.05 için söylenebilir ki modelimiz anlamlıdır.</t>
  </si>
  <si>
    <t>Yani Gelir değişkeni et alımının anlamlı bir tahmin edicisidir.</t>
  </si>
  <si>
    <t>Gelir değişkenindeki her bir birim değişim başına et alımındaki değişim 0,009 kadardır</t>
  </si>
  <si>
    <t>Evli olup şarap alan kişi sayısının toplam kişiye oranı:</t>
  </si>
  <si>
    <t>Bekar olup şarap alan kişi sayısının toplam kişiye oranı:</t>
  </si>
  <si>
    <t>Kip</t>
  </si>
  <si>
    <t>p &gt; 0.05 için H0 reddedilemez. Ortalamalar arasında fark yoktur.</t>
  </si>
  <si>
    <t>T~hesap~ &lt; T~kritik~ için H0 reddedilemez. Ortalamalar arsında fark yoktur.</t>
  </si>
  <si>
    <t>H0: Ortalama gelir = 55000</t>
  </si>
  <si>
    <t>Hs: Ortalama gelir != 55000</t>
  </si>
  <si>
    <t>Varyanslar biliniyor</t>
  </si>
  <si>
    <t>P &gt; 0.05 için %5 yanılma payıyla söylenebilir ki ortalama gelir 55.000 dir.</t>
  </si>
  <si>
    <t>Z~hesap~ &gt; Z~kritik~ için %95 güvenle söylenebilir ki ortalama gelir 55.000 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</si>
</sst>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8">
    <xf numFmtId="0" fontId="0" fillId="0" borderId="0"/>
    <xf numFmtId="0" fontId="3" fillId="0" borderId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</cellStyleXfs>
  <cellXfs count="48">
    <xf numFmtId="0" fontId="0" fillId="0" borderId="0" xfId="0"/>
    <xf numFmtId="0" fontId="3" fillId="0" borderId="0" xfId="1"/>
    <xf numFmtId="14" fontId="3" fillId="0" borderId="0" xfId="1" applyNumberFormat="1"/>
    <xf numFmtId="0" fontId="4" fillId="0" borderId="0" xfId="1" applyFont="1"/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4" fillId="0" borderId="0" xfId="1" applyFont="1" applyAlignment="1"/>
    <xf numFmtId="0" fontId="3" fillId="0" borderId="0" xfId="1" applyAlignment="1"/>
    <xf numFmtId="0" fontId="4" fillId="0" borderId="0" xfId="0" applyFont="1"/>
    <xf numFmtId="0" fontId="5" fillId="2" borderId="1" xfId="1" applyNumberFormat="1" applyFont="1" applyFill="1" applyBorder="1" applyAlignment="1"/>
    <xf numFmtId="0" fontId="2" fillId="0" borderId="1" xfId="1" applyNumberFormat="1" applyFont="1" applyBorder="1" applyAlignment="1"/>
    <xf numFmtId="0" fontId="2" fillId="0" borderId="4" xfId="1" applyNumberFormat="1" applyFont="1" applyBorder="1" applyAlignment="1"/>
    <xf numFmtId="0" fontId="4" fillId="0" borderId="0" xfId="1" applyNumberFormat="1" applyFont="1" applyFill="1" applyBorder="1" applyAlignment="1"/>
    <xf numFmtId="0" fontId="4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1" applyNumberFormat="1" applyFont="1" applyBorder="1" applyAlignment="1"/>
    <xf numFmtId="0" fontId="6" fillId="0" borderId="3" xfId="0" applyFont="1" applyFill="1" applyBorder="1" applyAlignment="1">
      <alignment horizontal="centerContinuous"/>
    </xf>
    <xf numFmtId="0" fontId="0" fillId="0" borderId="0" xfId="0" applyAlignment="1">
      <alignment horizontal="center"/>
    </xf>
    <xf numFmtId="0" fontId="9" fillId="5" borderId="0" xfId="4" applyBorder="1" applyAlignment="1"/>
    <xf numFmtId="0" fontId="9" fillId="6" borderId="0" xfId="5" applyBorder="1" applyAlignment="1"/>
    <xf numFmtId="0" fontId="9" fillId="7" borderId="0" xfId="6" applyBorder="1" applyAlignment="1"/>
    <xf numFmtId="0" fontId="9" fillId="8" borderId="2" xfId="7" applyBorder="1" applyAlignment="1"/>
    <xf numFmtId="0" fontId="10" fillId="9" borderId="0" xfId="0" applyFont="1" applyFill="1" applyAlignment="1">
      <alignment horizontal="center" vertical="center"/>
    </xf>
    <xf numFmtId="0" fontId="10" fillId="10" borderId="2" xfId="0" applyFont="1" applyFill="1" applyBorder="1" applyAlignment="1"/>
    <xf numFmtId="0" fontId="1" fillId="0" borderId="4" xfId="1" applyNumberFormat="1" applyFont="1" applyBorder="1" applyAlignment="1"/>
    <xf numFmtId="0" fontId="4" fillId="0" borderId="0" xfId="0" applyFont="1" applyFill="1" applyBorder="1" applyAlignment="1"/>
    <xf numFmtId="0" fontId="4" fillId="0" borderId="2" xfId="0" applyFont="1" applyFill="1" applyBorder="1" applyAlignment="1"/>
    <xf numFmtId="0" fontId="4" fillId="0" borderId="0" xfId="1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10" fillId="10" borderId="0" xfId="0" applyFont="1" applyFill="1" applyBorder="1" applyAlignment="1"/>
    <xf numFmtId="0" fontId="10" fillId="9" borderId="0" xfId="0" applyFont="1" applyFill="1" applyBorder="1" applyAlignment="1"/>
    <xf numFmtId="0" fontId="8" fillId="4" borderId="0" xfId="3" applyAlignment="1">
      <alignment horizontal="center"/>
    </xf>
    <xf numFmtId="0" fontId="7" fillId="3" borderId="0" xfId="2"/>
    <xf numFmtId="0" fontId="8" fillId="4" borderId="0" xfId="3" applyAlignment="1">
      <alignment horizontal="center" vertical="center"/>
    </xf>
    <xf numFmtId="0" fontId="9" fillId="8" borderId="0" xfId="7" applyAlignment="1">
      <alignment horizontal="left"/>
    </xf>
    <xf numFmtId="0" fontId="9" fillId="6" borderId="0" xfId="5" applyAlignment="1">
      <alignment horizontal="left"/>
    </xf>
    <xf numFmtId="0" fontId="9" fillId="7" borderId="0" xfId="6" applyAlignment="1">
      <alignment horizontal="left"/>
    </xf>
    <xf numFmtId="0" fontId="9" fillId="5" borderId="0" xfId="4" applyAlignment="1">
      <alignment horizontal="left"/>
    </xf>
    <xf numFmtId="0" fontId="5" fillId="10" borderId="0" xfId="1" applyFont="1" applyFill="1" applyAlignment="1">
      <alignment horizontal="center" vertical="center"/>
    </xf>
    <xf numFmtId="0" fontId="5" fillId="9" borderId="0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0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</cellXfs>
  <cellStyles count="8">
    <cellStyle name="İyi" xfId="2" builtinId="26"/>
    <cellStyle name="Normal" xfId="0" builtinId="0"/>
    <cellStyle name="Normal 2" xfId="1" xr:uid="{3E45856F-AECD-4134-AB62-A7F8151FEDA4}"/>
    <cellStyle name="Nötr" xfId="3" builtinId="28"/>
    <cellStyle name="Vurgu1" xfId="4" builtinId="29"/>
    <cellStyle name="Vurgu2" xfId="5" builtinId="33"/>
    <cellStyle name="Vurgu4" xfId="6" builtinId="41"/>
    <cellStyle name="Vurgu6" xfId="7" builtinId="49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Normal Olasılık Grafiği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4.1298554587635553E-2"/>
          <c:y val="9.3785619687385982E-2"/>
          <c:w val="0.9339421323354653"/>
          <c:h val="0.8666727238710177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rgbClr val="FFFF00">
                    <a:alpha val="50000"/>
                  </a:srgb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'11 Regresyon'!$T$4:$T$102</c:f>
              <c:numCache>
                <c:formatCode>General</c:formatCode>
                <c:ptCount val="99"/>
                <c:pt idx="0">
                  <c:v>0.50505050505050508</c:v>
                </c:pt>
                <c:pt idx="1">
                  <c:v>1.5151515151515151</c:v>
                </c:pt>
                <c:pt idx="2">
                  <c:v>2.5252525252525255</c:v>
                </c:pt>
                <c:pt idx="3">
                  <c:v>3.5353535353535355</c:v>
                </c:pt>
                <c:pt idx="4">
                  <c:v>4.5454545454545459</c:v>
                </c:pt>
                <c:pt idx="5">
                  <c:v>5.5555555555555562</c:v>
                </c:pt>
                <c:pt idx="6">
                  <c:v>6.5656565656565657</c:v>
                </c:pt>
                <c:pt idx="7">
                  <c:v>7.5757575757575761</c:v>
                </c:pt>
                <c:pt idx="8">
                  <c:v>8.5858585858585865</c:v>
                </c:pt>
                <c:pt idx="9">
                  <c:v>9.5959595959595969</c:v>
                </c:pt>
                <c:pt idx="10">
                  <c:v>10.606060606060607</c:v>
                </c:pt>
                <c:pt idx="11">
                  <c:v>11.616161616161618</c:v>
                </c:pt>
                <c:pt idx="12">
                  <c:v>12.626262626262626</c:v>
                </c:pt>
                <c:pt idx="13">
                  <c:v>13.636363636363637</c:v>
                </c:pt>
                <c:pt idx="14">
                  <c:v>14.646464646464647</c:v>
                </c:pt>
                <c:pt idx="15">
                  <c:v>15.656565656565657</c:v>
                </c:pt>
                <c:pt idx="16">
                  <c:v>16.666666666666668</c:v>
                </c:pt>
                <c:pt idx="17">
                  <c:v>17.676767676767678</c:v>
                </c:pt>
                <c:pt idx="18">
                  <c:v>18.686868686868689</c:v>
                </c:pt>
                <c:pt idx="19">
                  <c:v>19.696969696969699</c:v>
                </c:pt>
                <c:pt idx="20">
                  <c:v>20.707070707070709</c:v>
                </c:pt>
                <c:pt idx="21">
                  <c:v>21.71717171717172</c:v>
                </c:pt>
                <c:pt idx="22">
                  <c:v>22.72727272727273</c:v>
                </c:pt>
                <c:pt idx="23">
                  <c:v>23.737373737373741</c:v>
                </c:pt>
                <c:pt idx="24">
                  <c:v>24.747474747474747</c:v>
                </c:pt>
                <c:pt idx="25">
                  <c:v>25.757575757575758</c:v>
                </c:pt>
                <c:pt idx="26">
                  <c:v>26.767676767676768</c:v>
                </c:pt>
                <c:pt idx="27">
                  <c:v>27.777777777777779</c:v>
                </c:pt>
                <c:pt idx="28">
                  <c:v>28.787878787878789</c:v>
                </c:pt>
                <c:pt idx="29">
                  <c:v>29.797979797979799</c:v>
                </c:pt>
                <c:pt idx="30">
                  <c:v>30.80808080808081</c:v>
                </c:pt>
                <c:pt idx="31">
                  <c:v>31.81818181818182</c:v>
                </c:pt>
                <c:pt idx="32">
                  <c:v>32.828282828282831</c:v>
                </c:pt>
                <c:pt idx="33">
                  <c:v>33.838383838383841</c:v>
                </c:pt>
                <c:pt idx="34">
                  <c:v>34.848484848484851</c:v>
                </c:pt>
                <c:pt idx="35">
                  <c:v>35.858585858585862</c:v>
                </c:pt>
                <c:pt idx="36">
                  <c:v>36.868686868686872</c:v>
                </c:pt>
                <c:pt idx="37">
                  <c:v>37.878787878787882</c:v>
                </c:pt>
                <c:pt idx="38">
                  <c:v>38.888888888888893</c:v>
                </c:pt>
                <c:pt idx="39">
                  <c:v>39.898989898989903</c:v>
                </c:pt>
                <c:pt idx="40">
                  <c:v>40.909090909090914</c:v>
                </c:pt>
                <c:pt idx="41">
                  <c:v>41.919191919191924</c:v>
                </c:pt>
                <c:pt idx="42">
                  <c:v>42.929292929292934</c:v>
                </c:pt>
                <c:pt idx="43">
                  <c:v>43.939393939393945</c:v>
                </c:pt>
                <c:pt idx="44">
                  <c:v>44.949494949494955</c:v>
                </c:pt>
                <c:pt idx="45">
                  <c:v>45.959595959595966</c:v>
                </c:pt>
                <c:pt idx="46">
                  <c:v>46.969696969696976</c:v>
                </c:pt>
                <c:pt idx="47">
                  <c:v>47.979797979797986</c:v>
                </c:pt>
                <c:pt idx="48">
                  <c:v>48.98989898989899</c:v>
                </c:pt>
                <c:pt idx="49">
                  <c:v>50</c:v>
                </c:pt>
                <c:pt idx="50">
                  <c:v>51.01010101010101</c:v>
                </c:pt>
                <c:pt idx="51">
                  <c:v>52.020202020202021</c:v>
                </c:pt>
                <c:pt idx="52">
                  <c:v>53.030303030303031</c:v>
                </c:pt>
                <c:pt idx="53">
                  <c:v>54.040404040404042</c:v>
                </c:pt>
                <c:pt idx="54">
                  <c:v>55.050505050505052</c:v>
                </c:pt>
                <c:pt idx="55">
                  <c:v>56.060606060606062</c:v>
                </c:pt>
                <c:pt idx="56">
                  <c:v>57.070707070707073</c:v>
                </c:pt>
                <c:pt idx="57">
                  <c:v>58.080808080808083</c:v>
                </c:pt>
                <c:pt idx="58">
                  <c:v>59.090909090909093</c:v>
                </c:pt>
                <c:pt idx="59">
                  <c:v>60.101010101010104</c:v>
                </c:pt>
                <c:pt idx="60">
                  <c:v>61.111111111111114</c:v>
                </c:pt>
                <c:pt idx="61">
                  <c:v>62.121212121212125</c:v>
                </c:pt>
                <c:pt idx="62">
                  <c:v>63.131313131313135</c:v>
                </c:pt>
                <c:pt idx="63">
                  <c:v>64.141414141414145</c:v>
                </c:pt>
                <c:pt idx="64">
                  <c:v>65.151515151515156</c:v>
                </c:pt>
                <c:pt idx="65">
                  <c:v>66.161616161616166</c:v>
                </c:pt>
                <c:pt idx="66">
                  <c:v>67.171717171717177</c:v>
                </c:pt>
                <c:pt idx="67">
                  <c:v>68.181818181818187</c:v>
                </c:pt>
                <c:pt idx="68">
                  <c:v>69.191919191919197</c:v>
                </c:pt>
                <c:pt idx="69">
                  <c:v>70.202020202020208</c:v>
                </c:pt>
                <c:pt idx="70">
                  <c:v>71.212121212121218</c:v>
                </c:pt>
                <c:pt idx="71">
                  <c:v>72.222222222222229</c:v>
                </c:pt>
                <c:pt idx="72">
                  <c:v>73.232323232323239</c:v>
                </c:pt>
                <c:pt idx="73">
                  <c:v>74.242424242424249</c:v>
                </c:pt>
                <c:pt idx="74">
                  <c:v>75.25252525252526</c:v>
                </c:pt>
                <c:pt idx="75">
                  <c:v>76.26262626262627</c:v>
                </c:pt>
                <c:pt idx="76">
                  <c:v>77.27272727272728</c:v>
                </c:pt>
                <c:pt idx="77">
                  <c:v>78.282828282828291</c:v>
                </c:pt>
                <c:pt idx="78">
                  <c:v>79.292929292929301</c:v>
                </c:pt>
                <c:pt idx="79">
                  <c:v>80.303030303030312</c:v>
                </c:pt>
                <c:pt idx="80">
                  <c:v>81.313131313131322</c:v>
                </c:pt>
                <c:pt idx="81">
                  <c:v>82.323232323232332</c:v>
                </c:pt>
                <c:pt idx="82">
                  <c:v>83.333333333333343</c:v>
                </c:pt>
                <c:pt idx="83">
                  <c:v>84.343434343434353</c:v>
                </c:pt>
                <c:pt idx="84">
                  <c:v>85.353535353535364</c:v>
                </c:pt>
                <c:pt idx="85">
                  <c:v>86.363636363636374</c:v>
                </c:pt>
                <c:pt idx="86">
                  <c:v>87.373737373737384</c:v>
                </c:pt>
                <c:pt idx="87">
                  <c:v>88.383838383838395</c:v>
                </c:pt>
                <c:pt idx="88">
                  <c:v>89.393939393939405</c:v>
                </c:pt>
                <c:pt idx="89">
                  <c:v>90.404040404040416</c:v>
                </c:pt>
                <c:pt idx="90">
                  <c:v>91.414141414141426</c:v>
                </c:pt>
                <c:pt idx="91">
                  <c:v>92.424242424242436</c:v>
                </c:pt>
                <c:pt idx="92">
                  <c:v>93.434343434343447</c:v>
                </c:pt>
                <c:pt idx="93">
                  <c:v>94.444444444444457</c:v>
                </c:pt>
                <c:pt idx="94">
                  <c:v>95.454545454545467</c:v>
                </c:pt>
                <c:pt idx="95">
                  <c:v>96.464646464646478</c:v>
                </c:pt>
                <c:pt idx="96">
                  <c:v>97.474747474747474</c:v>
                </c:pt>
                <c:pt idx="97">
                  <c:v>98.484848484848484</c:v>
                </c:pt>
                <c:pt idx="98">
                  <c:v>99.494949494949495</c:v>
                </c:pt>
              </c:numCache>
            </c:numRef>
          </c:xVal>
          <c:yVal>
            <c:numRef>
              <c:f>'11 Regresyon'!$U$4:$U$102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14</c:v>
                </c:pt>
                <c:pt idx="16">
                  <c:v>14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18</c:v>
                </c:pt>
                <c:pt idx="23">
                  <c:v>20</c:v>
                </c:pt>
                <c:pt idx="24">
                  <c:v>21</c:v>
                </c:pt>
                <c:pt idx="25">
                  <c:v>23</c:v>
                </c:pt>
                <c:pt idx="26">
                  <c:v>23</c:v>
                </c:pt>
                <c:pt idx="27">
                  <c:v>24</c:v>
                </c:pt>
                <c:pt idx="28">
                  <c:v>24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30</c:v>
                </c:pt>
                <c:pt idx="36">
                  <c:v>31</c:v>
                </c:pt>
                <c:pt idx="37">
                  <c:v>31</c:v>
                </c:pt>
                <c:pt idx="38">
                  <c:v>35</c:v>
                </c:pt>
                <c:pt idx="39">
                  <c:v>41</c:v>
                </c:pt>
                <c:pt idx="40">
                  <c:v>43</c:v>
                </c:pt>
                <c:pt idx="41">
                  <c:v>48</c:v>
                </c:pt>
                <c:pt idx="42">
                  <c:v>50</c:v>
                </c:pt>
                <c:pt idx="43">
                  <c:v>50</c:v>
                </c:pt>
                <c:pt idx="44">
                  <c:v>51</c:v>
                </c:pt>
                <c:pt idx="45">
                  <c:v>53</c:v>
                </c:pt>
                <c:pt idx="46">
                  <c:v>57</c:v>
                </c:pt>
                <c:pt idx="47">
                  <c:v>57</c:v>
                </c:pt>
                <c:pt idx="48">
                  <c:v>61</c:v>
                </c:pt>
                <c:pt idx="49">
                  <c:v>61</c:v>
                </c:pt>
                <c:pt idx="50">
                  <c:v>65</c:v>
                </c:pt>
                <c:pt idx="51">
                  <c:v>68</c:v>
                </c:pt>
                <c:pt idx="52">
                  <c:v>70</c:v>
                </c:pt>
                <c:pt idx="53">
                  <c:v>73</c:v>
                </c:pt>
                <c:pt idx="54">
                  <c:v>86</c:v>
                </c:pt>
                <c:pt idx="55">
                  <c:v>87</c:v>
                </c:pt>
                <c:pt idx="56">
                  <c:v>92</c:v>
                </c:pt>
                <c:pt idx="57">
                  <c:v>92</c:v>
                </c:pt>
                <c:pt idx="58">
                  <c:v>96</c:v>
                </c:pt>
                <c:pt idx="59">
                  <c:v>107</c:v>
                </c:pt>
                <c:pt idx="60">
                  <c:v>124</c:v>
                </c:pt>
                <c:pt idx="61">
                  <c:v>131</c:v>
                </c:pt>
                <c:pt idx="62">
                  <c:v>140</c:v>
                </c:pt>
                <c:pt idx="63">
                  <c:v>141</c:v>
                </c:pt>
                <c:pt idx="64">
                  <c:v>168</c:v>
                </c:pt>
                <c:pt idx="65">
                  <c:v>182</c:v>
                </c:pt>
                <c:pt idx="66">
                  <c:v>199</c:v>
                </c:pt>
                <c:pt idx="67">
                  <c:v>206</c:v>
                </c:pt>
                <c:pt idx="68">
                  <c:v>217</c:v>
                </c:pt>
                <c:pt idx="69">
                  <c:v>243</c:v>
                </c:pt>
                <c:pt idx="70">
                  <c:v>253</c:v>
                </c:pt>
                <c:pt idx="71">
                  <c:v>254</c:v>
                </c:pt>
                <c:pt idx="72">
                  <c:v>259</c:v>
                </c:pt>
                <c:pt idx="73">
                  <c:v>260</c:v>
                </c:pt>
                <c:pt idx="74">
                  <c:v>276</c:v>
                </c:pt>
                <c:pt idx="75">
                  <c:v>278</c:v>
                </c:pt>
                <c:pt idx="76">
                  <c:v>292</c:v>
                </c:pt>
                <c:pt idx="77">
                  <c:v>304</c:v>
                </c:pt>
                <c:pt idx="78">
                  <c:v>348</c:v>
                </c:pt>
                <c:pt idx="79">
                  <c:v>368</c:v>
                </c:pt>
                <c:pt idx="80">
                  <c:v>369</c:v>
                </c:pt>
                <c:pt idx="81">
                  <c:v>396</c:v>
                </c:pt>
                <c:pt idx="82">
                  <c:v>414</c:v>
                </c:pt>
                <c:pt idx="83">
                  <c:v>421</c:v>
                </c:pt>
                <c:pt idx="84">
                  <c:v>446</c:v>
                </c:pt>
                <c:pt idx="85">
                  <c:v>447</c:v>
                </c:pt>
                <c:pt idx="86">
                  <c:v>473</c:v>
                </c:pt>
                <c:pt idx="87">
                  <c:v>500</c:v>
                </c:pt>
                <c:pt idx="88">
                  <c:v>501</c:v>
                </c:pt>
                <c:pt idx="89">
                  <c:v>537</c:v>
                </c:pt>
                <c:pt idx="90">
                  <c:v>554</c:v>
                </c:pt>
                <c:pt idx="91">
                  <c:v>555</c:v>
                </c:pt>
                <c:pt idx="92">
                  <c:v>654</c:v>
                </c:pt>
                <c:pt idx="93">
                  <c:v>672</c:v>
                </c:pt>
                <c:pt idx="94">
                  <c:v>751</c:v>
                </c:pt>
                <c:pt idx="95">
                  <c:v>792</c:v>
                </c:pt>
                <c:pt idx="96">
                  <c:v>797</c:v>
                </c:pt>
                <c:pt idx="97">
                  <c:v>813</c:v>
                </c:pt>
                <c:pt idx="98">
                  <c:v>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D-43DB-A3AC-B394A1B55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209936"/>
        <c:axId val="1586212016"/>
      </c:scatterChart>
      <c:valAx>
        <c:axId val="1586209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86212016"/>
        <c:crosses val="autoZero"/>
        <c:crossBetween val="midCat"/>
      </c:valAx>
      <c:valAx>
        <c:axId val="158621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86209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5631</xdr:colOff>
      <xdr:row>22</xdr:row>
      <xdr:rowOff>11973</xdr:rowOff>
    </xdr:from>
    <xdr:to>
      <xdr:col>13</xdr:col>
      <xdr:colOff>606068</xdr:colOff>
      <xdr:row>41</xdr:row>
      <xdr:rowOff>19878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E0A1F1DE-F2F3-4843-81CF-8BACCDCD6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358140</xdr:colOff>
      <xdr:row>10</xdr:row>
      <xdr:rowOff>99060</xdr:rowOff>
    </xdr:from>
    <xdr:ext cx="2887980" cy="5377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Metin kutusu 1">
              <a:extLst>
                <a:ext uri="{FF2B5EF4-FFF2-40B4-BE49-F238E27FC236}">
                  <a16:creationId xmlns:a16="http://schemas.microsoft.com/office/drawing/2014/main" id="{599C01A9-B216-4F21-9F66-674C2D383CD3}"/>
                </a:ext>
              </a:extLst>
            </xdr:cNvPr>
            <xdr:cNvSpPr txBox="1"/>
          </xdr:nvSpPr>
          <xdr:spPr>
            <a:xfrm>
              <a:off x="3512820" y="1927860"/>
              <a:ext cx="2887980" cy="537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>
                        <a:latin typeface="Cambria Math" panose="02040503050406030204" pitchFamily="18" charset="0"/>
                      </a:rPr>
                      <m:t>𝑍h𝑒𝑠𝑎𝑝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tr-T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tr-TR" sz="1100" b="0" i="1">
                                <a:latin typeface="Cambria Math" panose="02040503050406030204" pitchFamily="18" charset="0"/>
                              </a:rPr>
                              <m:t>𝑚𝑎𝑟𝑟𝑖𝑒𝑑</m:t>
                            </m:r>
                          </m:sub>
                        </m:s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tr-T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</m:e>
                            </m:acc>
                          </m:e>
                          <m:sub>
                            <m:r>
                              <a:rPr lang="tr-TR" sz="1100" b="0" i="1">
                                <a:latin typeface="Cambria Math" panose="02040503050406030204" pitchFamily="18" charset="0"/>
                              </a:rPr>
                              <m:t>𝑠𝑖𝑛𝑔𝑙𝑒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tr-TR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0(1−</m:t>
                                </m:r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𝑝</m:t>
                                </m:r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0)</m:t>
                                </m:r>
                              </m:num>
                              <m:den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den>
                            </m:f>
                          </m:e>
                        </m:rad>
                      </m:den>
                    </m:f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2" name="Metin kutusu 1">
              <a:extLst>
                <a:ext uri="{FF2B5EF4-FFF2-40B4-BE49-F238E27FC236}">
                  <a16:creationId xmlns:a16="http://schemas.microsoft.com/office/drawing/2014/main" id="{599C01A9-B216-4F21-9F66-674C2D383CD3}"/>
                </a:ext>
              </a:extLst>
            </xdr:cNvPr>
            <xdr:cNvSpPr txBox="1"/>
          </xdr:nvSpPr>
          <xdr:spPr>
            <a:xfrm>
              <a:off x="3512820" y="1927860"/>
              <a:ext cx="2887980" cy="5377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𝑍ℎ𝑒𝑠𝑎𝑝=(𝑝 ̂_𝑚𝑎𝑟𝑟𝑖𝑒𝑑−𝑝 ̂_𝑠𝑖𝑛𝑔𝑙𝑒)/√((𝑝0(1−𝑝0))/𝑛)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9</xdr:col>
      <xdr:colOff>45720</xdr:colOff>
      <xdr:row>10</xdr:row>
      <xdr:rowOff>99060</xdr:rowOff>
    </xdr:from>
    <xdr:ext cx="1402080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Metin kutusu 2">
              <a:extLst>
                <a:ext uri="{FF2B5EF4-FFF2-40B4-BE49-F238E27FC236}">
                  <a16:creationId xmlns:a16="http://schemas.microsoft.com/office/drawing/2014/main" id="{0EC5C5A5-FB89-4E52-BD31-102C57CD02D0}"/>
                </a:ext>
              </a:extLst>
            </xdr:cNvPr>
            <xdr:cNvSpPr txBox="1"/>
          </xdr:nvSpPr>
          <xdr:spPr>
            <a:xfrm>
              <a:off x="6606540" y="1927860"/>
              <a:ext cx="140208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tr-TR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tr-TR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e>
                        </m:acc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𝑚𝑎𝑟𝑟𝑖𝑒𝑑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43</m:t>
                        </m:r>
                      </m:num>
                      <m:den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  <m:r>
                      <a:rPr lang="tr-TR" sz="1100" b="0" i="0">
                        <a:latin typeface="Cambria Math" panose="02040503050406030204" pitchFamily="18" charset="0"/>
                      </a:rPr>
                      <m:t>=0,43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3" name="Metin kutusu 2">
              <a:extLst>
                <a:ext uri="{FF2B5EF4-FFF2-40B4-BE49-F238E27FC236}">
                  <a16:creationId xmlns:a16="http://schemas.microsoft.com/office/drawing/2014/main" id="{0EC5C5A5-FB89-4E52-BD31-102C57CD02D0}"/>
                </a:ext>
              </a:extLst>
            </xdr:cNvPr>
            <xdr:cNvSpPr txBox="1"/>
          </xdr:nvSpPr>
          <xdr:spPr>
            <a:xfrm>
              <a:off x="6606540" y="1927860"/>
              <a:ext cx="1402080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𝑝 ̂_𝑚𝑎𝑟𝑟𝑖𝑒𝑑=43/100=0,43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12</xdr:col>
      <xdr:colOff>22860</xdr:colOff>
      <xdr:row>10</xdr:row>
      <xdr:rowOff>99060</xdr:rowOff>
    </xdr:from>
    <xdr:ext cx="1292918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AFF8076C-6623-46D4-BBCF-07736068C37D}"/>
                </a:ext>
              </a:extLst>
            </xdr:cNvPr>
            <xdr:cNvSpPr txBox="1"/>
          </xdr:nvSpPr>
          <xdr:spPr>
            <a:xfrm>
              <a:off x="8412480" y="1927860"/>
              <a:ext cx="1292918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tr-TR" sz="11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tr-TR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e>
                        </m:acc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𝑠𝑖𝑛𝑔𝑙𝑒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18</m:t>
                        </m:r>
                      </m:num>
                      <m:den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100</m:t>
                        </m:r>
                      </m:den>
                    </m:f>
                    <m:r>
                      <a:rPr lang="tr-TR" sz="1100" b="0" i="1">
                        <a:latin typeface="Cambria Math" panose="02040503050406030204" pitchFamily="18" charset="0"/>
                      </a:rPr>
                      <m:t>=0,18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AFF8076C-6623-46D4-BBCF-07736068C37D}"/>
                </a:ext>
              </a:extLst>
            </xdr:cNvPr>
            <xdr:cNvSpPr txBox="1"/>
          </xdr:nvSpPr>
          <xdr:spPr>
            <a:xfrm>
              <a:off x="8412480" y="1927860"/>
              <a:ext cx="1292918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𝑝 ̂_𝑠𝑖𝑛𝑔𝑙𝑒=18/100=0,18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10</xdr:col>
      <xdr:colOff>205740</xdr:colOff>
      <xdr:row>14</xdr:row>
      <xdr:rowOff>106680</xdr:rowOff>
    </xdr:from>
    <xdr:ext cx="1517018" cy="3207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Metin kutusu 4">
              <a:extLst>
                <a:ext uri="{FF2B5EF4-FFF2-40B4-BE49-F238E27FC236}">
                  <a16:creationId xmlns:a16="http://schemas.microsoft.com/office/drawing/2014/main" id="{E190ACFF-5C70-4AC7-AF5D-158550E6FFEE}"/>
                </a:ext>
              </a:extLst>
            </xdr:cNvPr>
            <xdr:cNvSpPr txBox="1"/>
          </xdr:nvSpPr>
          <xdr:spPr>
            <a:xfrm>
              <a:off x="7376160" y="2667000"/>
              <a:ext cx="1517018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43+18</m:t>
                        </m:r>
                      </m:num>
                      <m:den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100+100</m:t>
                        </m:r>
                      </m:den>
                    </m:f>
                    <m:r>
                      <a:rPr lang="tr-TR" sz="1100" b="0" i="1">
                        <a:latin typeface="Cambria Math" panose="02040503050406030204" pitchFamily="18" charset="0"/>
                      </a:rPr>
                      <m:t>=0,305</m:t>
                    </m:r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5" name="Metin kutusu 4">
              <a:extLst>
                <a:ext uri="{FF2B5EF4-FFF2-40B4-BE49-F238E27FC236}">
                  <a16:creationId xmlns:a16="http://schemas.microsoft.com/office/drawing/2014/main" id="{E190ACFF-5C70-4AC7-AF5D-158550E6FFEE}"/>
                </a:ext>
              </a:extLst>
            </xdr:cNvPr>
            <xdr:cNvSpPr txBox="1"/>
          </xdr:nvSpPr>
          <xdr:spPr>
            <a:xfrm>
              <a:off x="7376160" y="2667000"/>
              <a:ext cx="1517018" cy="3207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𝑝_0=(43+18)/(100+100)=0,305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4</xdr:col>
      <xdr:colOff>396240</xdr:colOff>
      <xdr:row>15</xdr:row>
      <xdr:rowOff>106680</xdr:rowOff>
    </xdr:from>
    <xdr:ext cx="2887980" cy="5285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Metin kutusu 5">
              <a:extLst>
                <a:ext uri="{FF2B5EF4-FFF2-40B4-BE49-F238E27FC236}">
                  <a16:creationId xmlns:a16="http://schemas.microsoft.com/office/drawing/2014/main" id="{E0DA8FE9-4448-4180-9F1A-919E2B078591}"/>
                </a:ext>
              </a:extLst>
            </xdr:cNvPr>
            <xdr:cNvSpPr txBox="1"/>
          </xdr:nvSpPr>
          <xdr:spPr>
            <a:xfrm>
              <a:off x="3550920" y="2849880"/>
              <a:ext cx="2887980" cy="528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>
                        <a:latin typeface="Cambria Math" panose="02040503050406030204" pitchFamily="18" charset="0"/>
                      </a:rPr>
                      <m:t>𝑍h𝑒𝑠𝑎𝑝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tr-T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0,43−0,18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tr-TR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f>
                              <m:fPr>
                                <m:ctrlP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0,305(1−0,305)</m:t>
                                </m:r>
                              </m:num>
                              <m:den>
                                <m:r>
                                  <a:rPr lang="tr-TR" sz="1100" b="0" i="1">
                                    <a:latin typeface="Cambria Math" panose="02040503050406030204" pitchFamily="18" charset="0"/>
                                  </a:rPr>
                                  <m:t>100</m:t>
                                </m:r>
                              </m:den>
                            </m:f>
                          </m:e>
                        </m:rad>
                      </m:den>
                    </m:f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6" name="Metin kutusu 5">
              <a:extLst>
                <a:ext uri="{FF2B5EF4-FFF2-40B4-BE49-F238E27FC236}">
                  <a16:creationId xmlns:a16="http://schemas.microsoft.com/office/drawing/2014/main" id="{E0DA8FE9-4448-4180-9F1A-919E2B078591}"/>
                </a:ext>
              </a:extLst>
            </xdr:cNvPr>
            <xdr:cNvSpPr txBox="1"/>
          </xdr:nvSpPr>
          <xdr:spPr>
            <a:xfrm>
              <a:off x="3550920" y="2849880"/>
              <a:ext cx="2887980" cy="5285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𝑍ℎ𝑒𝑠𝑎𝑝=(0,43−0,18)/√((0,305(1−0,305))/100)</a:t>
              </a:r>
              <a:endParaRPr lang="tr-TR" sz="1100"/>
            </a:p>
          </xdr:txBody>
        </xdr:sp>
      </mc:Fallback>
    </mc:AlternateContent>
    <xdr:clientData/>
  </xdr:oneCellAnchor>
  <xdr:oneCellAnchor>
    <xdr:from>
      <xdr:col>5</xdr:col>
      <xdr:colOff>53340</xdr:colOff>
      <xdr:row>19</xdr:row>
      <xdr:rowOff>167640</xdr:rowOff>
    </xdr:from>
    <xdr:ext cx="124968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Metin kutusu 6">
              <a:extLst>
                <a:ext uri="{FF2B5EF4-FFF2-40B4-BE49-F238E27FC236}">
                  <a16:creationId xmlns:a16="http://schemas.microsoft.com/office/drawing/2014/main" id="{0C9DFBA5-A2A8-405E-B972-8649CF570972}"/>
                </a:ext>
              </a:extLst>
            </xdr:cNvPr>
            <xdr:cNvSpPr txBox="1"/>
          </xdr:nvSpPr>
          <xdr:spPr>
            <a:xfrm>
              <a:off x="4122420" y="3642360"/>
              <a:ext cx="1249680" cy="172227"/>
            </a:xfrm>
            <a:prstGeom prst="rect">
              <a:avLst/>
            </a:prstGeom>
            <a:solidFill>
              <a:srgbClr val="FF00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tr-TR" sz="1100" b="1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𝒁𝒉𝒆𝒔𝒂𝒑</m:t>
                  </m:r>
                  <m:r>
                    <a:rPr lang="tr-TR" sz="1100" b="1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tr-TR" sz="1100" b="1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 5.429973</a:t>
              </a:r>
              <a:endParaRPr lang="tr-TR" sz="1100" b="1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7" name="Metin kutusu 6">
              <a:extLst>
                <a:ext uri="{FF2B5EF4-FFF2-40B4-BE49-F238E27FC236}">
                  <a16:creationId xmlns:a16="http://schemas.microsoft.com/office/drawing/2014/main" id="{0C9DFBA5-A2A8-405E-B972-8649CF570972}"/>
                </a:ext>
              </a:extLst>
            </xdr:cNvPr>
            <xdr:cNvSpPr txBox="1"/>
          </xdr:nvSpPr>
          <xdr:spPr>
            <a:xfrm>
              <a:off x="4122420" y="3642360"/>
              <a:ext cx="1249680" cy="172227"/>
            </a:xfrm>
            <a:prstGeom prst="rect">
              <a:avLst/>
            </a:prstGeom>
            <a:solidFill>
              <a:srgbClr val="FF00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tr-TR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𝒁𝒉𝒆𝒔𝒂𝒑=</a:t>
              </a:r>
              <a:r>
                <a:rPr lang="tr-TR" sz="1100" b="1" i="0">
                  <a:solidFill>
                    <a:schemeClr val="bg1"/>
                  </a:solidFill>
                  <a:effectLst/>
                  <a:latin typeface="+mn-lt"/>
                  <a:ea typeface="+mn-ea"/>
                  <a:cs typeface="+mn-cs"/>
                </a:rPr>
                <a:t> 5.429973</a:t>
              </a:r>
              <a:endParaRPr lang="tr-TR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7</xdr:col>
      <xdr:colOff>30480</xdr:colOff>
      <xdr:row>19</xdr:row>
      <xdr:rowOff>167640</xdr:rowOff>
    </xdr:from>
    <xdr:ext cx="234696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Metin kutusu 7">
              <a:extLst>
                <a:ext uri="{FF2B5EF4-FFF2-40B4-BE49-F238E27FC236}">
                  <a16:creationId xmlns:a16="http://schemas.microsoft.com/office/drawing/2014/main" id="{8F138671-B204-4E1B-BE5F-E3986C6ED270}"/>
                </a:ext>
              </a:extLst>
            </xdr:cNvPr>
            <xdr:cNvSpPr txBox="1"/>
          </xdr:nvSpPr>
          <xdr:spPr>
            <a:xfrm>
              <a:off x="5372100" y="3642360"/>
              <a:ext cx="2346960" cy="172227"/>
            </a:xfrm>
            <a:prstGeom prst="rect">
              <a:avLst/>
            </a:prstGeom>
            <a:solidFill>
              <a:srgbClr val="FF00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𝒁𝒌𝒓𝒊𝒕𝒊𝒌</m:t>
                    </m:r>
                    <m:r>
                      <a:rPr lang="tr-TR" sz="1100" b="1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𝟏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𝟗𝟔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 (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𝐚𝐥𝐩𝐡𝐚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.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𝟎𝟓</m:t>
                    </m:r>
                    <m:r>
                      <a:rPr lang="tr-TR" sz="1100" b="1" i="0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tr-TR" sz="1100" b="1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8" name="Metin kutusu 7">
              <a:extLst>
                <a:ext uri="{FF2B5EF4-FFF2-40B4-BE49-F238E27FC236}">
                  <a16:creationId xmlns:a16="http://schemas.microsoft.com/office/drawing/2014/main" id="{8F138671-B204-4E1B-BE5F-E3986C6ED270}"/>
                </a:ext>
              </a:extLst>
            </xdr:cNvPr>
            <xdr:cNvSpPr txBox="1"/>
          </xdr:nvSpPr>
          <xdr:spPr>
            <a:xfrm>
              <a:off x="5372100" y="3642360"/>
              <a:ext cx="2346960" cy="172227"/>
            </a:xfrm>
            <a:prstGeom prst="rect">
              <a:avLst/>
            </a:prstGeom>
            <a:solidFill>
              <a:srgbClr val="FF0000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tr-TR" sz="1100" b="1" i="0">
                  <a:solidFill>
                    <a:schemeClr val="bg1"/>
                  </a:solidFill>
                  <a:latin typeface="Cambria Math" panose="02040503050406030204" pitchFamily="18" charset="0"/>
                </a:rPr>
                <a:t>𝒁𝒌𝒓𝒊𝒕𝒊𝒌=𝟏.𝟗𝟔 (𝐚𝐥𝐩𝐡𝐚=𝟎.𝟎𝟓)</a:t>
              </a:r>
              <a:endParaRPr lang="tr-TR" sz="1100" b="1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8712DA-CC53-4C5F-AE57-5CB1690E9ABF}" name="Tablo1" displayName="Tablo1" ref="A1:AC102" totalsRowShown="0">
  <autoFilter ref="A1:AC102" xr:uid="{2BE3AAFC-0931-4DBE-8CE5-C4CE45F0A921}"/>
  <tableColumns count="29">
    <tableColumn id="1" xr3:uid="{CFD4C60A-CC60-47EC-B227-0C2F2689A41B}" name="ID"/>
    <tableColumn id="2" xr3:uid="{62B194C2-A1A9-491E-A8F0-1D710BB06AF0}" name="Year_Birth"/>
    <tableColumn id="3" xr3:uid="{1490B42E-6422-496F-AD35-476F23F7D85D}" name="Education"/>
    <tableColumn id="4" xr3:uid="{FF01EA05-32D7-4337-960C-833BF0F63ADE}" name="Marital_Status"/>
    <tableColumn id="5" xr3:uid="{E953F481-5827-4B95-98F8-008DC990A5E5}" name="Income"/>
    <tableColumn id="6" xr3:uid="{0F2BD24F-60C2-43E3-AFBD-580FB831D3C5}" name="Kidhome"/>
    <tableColumn id="7" xr3:uid="{8A67AF78-FB7C-4339-B06C-88035878D19D}" name="Teenhome"/>
    <tableColumn id="8" xr3:uid="{4C7831C0-96BD-48D2-85B2-413F198AC163}" name="Dt_Customer" dataDxfId="0"/>
    <tableColumn id="9" xr3:uid="{C4C4E17F-69BF-483C-9CA5-02A0EB27B006}" name="Recency"/>
    <tableColumn id="10" xr3:uid="{E5F549D2-6A71-4414-B681-9D1B87D4048D}" name="MntWines"/>
    <tableColumn id="11" xr3:uid="{41B62E2C-5ECE-49F7-9DCE-043F1491770C}" name="MntFruits"/>
    <tableColumn id="12" xr3:uid="{0FD19684-D95D-4746-9394-CF2ADA347F1D}" name="MntMeatProducts"/>
    <tableColumn id="13" xr3:uid="{F35D8A1F-A0A5-4990-A228-04140D7413B0}" name="MntFishProducts"/>
    <tableColumn id="14" xr3:uid="{7E693DFD-D53C-4DA4-930A-F1D96A0085EC}" name="MntSweetProducts"/>
    <tableColumn id="15" xr3:uid="{C113E49A-770F-457E-9C6D-40F72D84E2A5}" name="MntGoldProds"/>
    <tableColumn id="16" xr3:uid="{524726CF-47F6-462D-916F-7579AAC4F865}" name="NumDealsPurchases"/>
    <tableColumn id="17" xr3:uid="{C69A3D66-AEDE-4562-A198-ED012E5121FB}" name="NumWebPurchases"/>
    <tableColumn id="18" xr3:uid="{A5E0E320-DB5B-4EE6-A9B8-6C9DD838B03D}" name="NumCatalogPurchases"/>
    <tableColumn id="19" xr3:uid="{761E89C6-A54B-45D2-902F-FA532FF7220D}" name="NumStorePurchases"/>
    <tableColumn id="20" xr3:uid="{4A22AE70-2A7F-4954-9EE7-A4717B85F7DF}" name="NumWebVisitsMonth"/>
    <tableColumn id="21" xr3:uid="{8F11591B-FE78-4796-AE2D-B8AF9BD7B01F}" name="AcceptedCmp3"/>
    <tableColumn id="22" xr3:uid="{60A6250C-974F-40A6-96FD-9BD214BD33C9}" name="AcceptedCmp4"/>
    <tableColumn id="23" xr3:uid="{1CB4ACEC-E834-4835-BC64-9A2E768EA3DC}" name="AcceptedCmp5"/>
    <tableColumn id="24" xr3:uid="{D44A5C07-0F69-4034-8C24-0553D9EC7650}" name="AcceptedCmp1"/>
    <tableColumn id="25" xr3:uid="{301C542B-05CB-41A4-AB19-C8F170D695C2}" name="AcceptedCmp2"/>
    <tableColumn id="26" xr3:uid="{C38D7413-960C-4F30-BB37-145CA7256B6E}" name="Complain"/>
    <tableColumn id="27" xr3:uid="{1D2D42E5-929E-43BA-9678-EEFD7204813E}" name="Z_CostContact"/>
    <tableColumn id="28" xr3:uid="{5C3E711F-35F4-4D65-BEB6-47FF28CA6E54}" name="Z_Revenue"/>
    <tableColumn id="29" xr3:uid="{ABAD34B9-CA5A-4237-B49D-039E966C2E30}" name="Respons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72CD-BF8D-41D9-B9DA-E2BCA2B2725E}">
  <dimension ref="A1:AC102"/>
  <sheetViews>
    <sheetView tabSelected="1" topLeftCell="E1" workbookViewId="0">
      <selection activeCell="E2" sqref="E2"/>
    </sheetView>
  </sheetViews>
  <sheetFormatPr defaultRowHeight="14.4" x14ac:dyDescent="0.3"/>
  <cols>
    <col min="1" max="1" width="6" style="1" bestFit="1" customWidth="1"/>
    <col min="2" max="2" width="11.88671875" style="1" bestFit="1" customWidth="1"/>
    <col min="3" max="3" width="11.6640625" style="1" bestFit="1" customWidth="1"/>
    <col min="4" max="4" width="15.5546875" style="1" bestFit="1" customWidth="1"/>
    <col min="5" max="5" width="9.5546875" style="1" bestFit="1" customWidth="1"/>
    <col min="6" max="6" width="10.77734375" style="1" bestFit="1" customWidth="1"/>
    <col min="7" max="7" width="12.21875" style="1" bestFit="1" customWidth="1"/>
    <col min="8" max="8" width="14.21875" style="1" bestFit="1" customWidth="1"/>
    <col min="9" max="9" width="10.21875" style="1" bestFit="1" customWidth="1"/>
    <col min="10" max="10" width="11.88671875" style="1" bestFit="1" customWidth="1"/>
    <col min="11" max="11" width="11.33203125" style="1" bestFit="1" customWidth="1"/>
    <col min="12" max="12" width="18.77734375" style="1" bestFit="1" customWidth="1"/>
    <col min="13" max="13" width="17.5546875" style="1" bestFit="1" customWidth="1"/>
    <col min="14" max="14" width="19.5546875" style="1" bestFit="1" customWidth="1"/>
    <col min="15" max="15" width="15.5546875" style="1" bestFit="1" customWidth="1"/>
    <col min="16" max="16" width="20.44140625" style="1" bestFit="1" customWidth="1"/>
    <col min="17" max="17" width="19.88671875" style="1" bestFit="1" customWidth="1"/>
    <col min="18" max="18" width="22.33203125" style="1" bestFit="1" customWidth="1"/>
    <col min="19" max="19" width="20.44140625" style="1" bestFit="1" customWidth="1"/>
    <col min="20" max="20" width="21.5546875" style="1" bestFit="1" customWidth="1"/>
    <col min="21" max="25" width="16.109375" style="1" bestFit="1" customWidth="1"/>
    <col min="26" max="26" width="11.21875" style="1" bestFit="1" customWidth="1"/>
    <col min="27" max="27" width="15.5546875" style="1" bestFit="1" customWidth="1"/>
    <col min="28" max="28" width="12.5546875" style="1" bestFit="1" customWidth="1"/>
    <col min="29" max="29" width="11.21875" style="1" bestFit="1" customWidth="1"/>
    <col min="30" max="16384" width="8.88671875" style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1">
        <v>2246</v>
      </c>
      <c r="B2" s="1">
        <v>1965</v>
      </c>
      <c r="C2" s="1" t="s">
        <v>29</v>
      </c>
      <c r="D2" s="1" t="s">
        <v>30</v>
      </c>
      <c r="E2" s="1">
        <v>46891</v>
      </c>
      <c r="F2" s="1">
        <v>0</v>
      </c>
      <c r="G2" s="1">
        <v>1</v>
      </c>
      <c r="H2" s="2">
        <v>41518</v>
      </c>
      <c r="I2" s="1">
        <v>91</v>
      </c>
      <c r="J2" s="1">
        <v>43</v>
      </c>
      <c r="K2" s="1">
        <v>12</v>
      </c>
      <c r="L2" s="1">
        <v>23</v>
      </c>
      <c r="M2" s="1">
        <v>29</v>
      </c>
      <c r="N2" s="1">
        <v>15</v>
      </c>
      <c r="O2" s="1">
        <v>61</v>
      </c>
      <c r="P2" s="1">
        <v>1</v>
      </c>
      <c r="Q2" s="1">
        <v>2</v>
      </c>
      <c r="R2" s="1">
        <v>1</v>
      </c>
      <c r="S2" s="1">
        <v>4</v>
      </c>
      <c r="T2" s="1">
        <v>4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3</v>
      </c>
      <c r="AB2" s="1">
        <v>11</v>
      </c>
      <c r="AC2" s="1">
        <v>0</v>
      </c>
    </row>
    <row r="3" spans="1:29" x14ac:dyDescent="0.3">
      <c r="A3" s="1">
        <v>0</v>
      </c>
      <c r="B3" s="1">
        <v>1985</v>
      </c>
      <c r="C3" s="1" t="s">
        <v>31</v>
      </c>
      <c r="D3" s="1" t="s">
        <v>30</v>
      </c>
      <c r="E3" s="1">
        <v>70951</v>
      </c>
      <c r="F3" s="1">
        <v>0</v>
      </c>
      <c r="G3" s="1">
        <v>0</v>
      </c>
      <c r="H3" s="2">
        <v>41398</v>
      </c>
      <c r="I3" s="1">
        <v>66</v>
      </c>
      <c r="J3" s="1">
        <v>239</v>
      </c>
      <c r="K3" s="1">
        <v>10</v>
      </c>
      <c r="L3" s="1">
        <v>554</v>
      </c>
      <c r="M3" s="1">
        <v>254</v>
      </c>
      <c r="N3" s="1">
        <v>87</v>
      </c>
      <c r="O3" s="1">
        <v>54</v>
      </c>
      <c r="P3" s="1">
        <v>1</v>
      </c>
      <c r="Q3" s="1">
        <v>3</v>
      </c>
      <c r="R3" s="1">
        <v>4</v>
      </c>
      <c r="S3" s="1">
        <v>9</v>
      </c>
      <c r="T3" s="1">
        <v>1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3</v>
      </c>
      <c r="AB3" s="1">
        <v>11</v>
      </c>
      <c r="AC3" s="1">
        <v>0</v>
      </c>
    </row>
    <row r="4" spans="1:29" x14ac:dyDescent="0.3">
      <c r="A4" s="1">
        <v>6384</v>
      </c>
      <c r="B4" s="1">
        <v>1978</v>
      </c>
      <c r="C4" s="1" t="s">
        <v>31</v>
      </c>
      <c r="D4" s="1" t="s">
        <v>32</v>
      </c>
      <c r="E4" s="1">
        <v>71022</v>
      </c>
      <c r="F4" s="1">
        <v>0</v>
      </c>
      <c r="G4" s="1">
        <v>1</v>
      </c>
      <c r="H4" s="2">
        <v>41681</v>
      </c>
      <c r="I4" s="1">
        <v>30</v>
      </c>
      <c r="J4" s="1">
        <v>909</v>
      </c>
      <c r="K4" s="1">
        <v>12</v>
      </c>
      <c r="L4" s="1">
        <v>278</v>
      </c>
      <c r="M4" s="1">
        <v>0</v>
      </c>
      <c r="N4" s="1">
        <v>12</v>
      </c>
      <c r="O4" s="1">
        <v>242</v>
      </c>
      <c r="P4" s="1">
        <v>3</v>
      </c>
      <c r="Q4" s="1">
        <v>5</v>
      </c>
      <c r="R4" s="1">
        <v>2</v>
      </c>
      <c r="S4" s="1">
        <v>11</v>
      </c>
      <c r="T4" s="1">
        <v>8</v>
      </c>
      <c r="U4" s="1">
        <v>1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3</v>
      </c>
      <c r="AB4" s="1">
        <v>11</v>
      </c>
      <c r="AC4" s="1">
        <v>0</v>
      </c>
    </row>
    <row r="5" spans="1:29" x14ac:dyDescent="0.3">
      <c r="A5" s="1">
        <v>8079</v>
      </c>
      <c r="B5" s="1">
        <v>1982</v>
      </c>
      <c r="C5" s="1" t="s">
        <v>31</v>
      </c>
      <c r="D5" s="1" t="s">
        <v>30</v>
      </c>
      <c r="E5" s="1">
        <v>22448</v>
      </c>
      <c r="F5" s="1">
        <v>1</v>
      </c>
      <c r="G5" s="1">
        <v>0</v>
      </c>
      <c r="H5" s="2">
        <v>41696</v>
      </c>
      <c r="I5" s="1">
        <v>86</v>
      </c>
      <c r="J5" s="1">
        <v>3</v>
      </c>
      <c r="K5" s="1">
        <v>1</v>
      </c>
      <c r="L5" s="1">
        <v>8</v>
      </c>
      <c r="M5" s="1">
        <v>23</v>
      </c>
      <c r="N5" s="1">
        <v>2</v>
      </c>
      <c r="O5" s="1">
        <v>18</v>
      </c>
      <c r="P5" s="1">
        <v>3</v>
      </c>
      <c r="Q5" s="1">
        <v>2</v>
      </c>
      <c r="R5" s="1">
        <v>1</v>
      </c>
      <c r="S5" s="1">
        <v>3</v>
      </c>
      <c r="T5" s="1">
        <v>3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3</v>
      </c>
      <c r="AB5" s="1">
        <v>11</v>
      </c>
      <c r="AC5" s="1">
        <v>0</v>
      </c>
    </row>
    <row r="6" spans="1:29" x14ac:dyDescent="0.3">
      <c r="A6" s="1">
        <v>5184</v>
      </c>
      <c r="B6" s="1">
        <v>1995</v>
      </c>
      <c r="C6" s="1" t="s">
        <v>31</v>
      </c>
      <c r="D6" s="1" t="s">
        <v>33</v>
      </c>
      <c r="E6" s="1">
        <v>34824</v>
      </c>
      <c r="F6" s="1">
        <v>0</v>
      </c>
      <c r="G6" s="1">
        <v>0</v>
      </c>
      <c r="H6" s="2">
        <v>41724</v>
      </c>
      <c r="I6" s="1">
        <v>65</v>
      </c>
      <c r="J6" s="1">
        <v>4</v>
      </c>
      <c r="K6" s="1">
        <v>2</v>
      </c>
      <c r="L6" s="1">
        <v>11</v>
      </c>
      <c r="M6" s="1">
        <v>2</v>
      </c>
      <c r="N6" s="1">
        <v>0</v>
      </c>
      <c r="O6" s="1">
        <v>4</v>
      </c>
      <c r="P6" s="1">
        <v>1</v>
      </c>
      <c r="Q6" s="1">
        <v>1</v>
      </c>
      <c r="R6" s="1">
        <v>0</v>
      </c>
      <c r="S6" s="1">
        <v>2</v>
      </c>
      <c r="T6" s="1">
        <v>6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3</v>
      </c>
      <c r="AB6" s="1">
        <v>11</v>
      </c>
      <c r="AC6" s="1">
        <v>0</v>
      </c>
    </row>
    <row r="7" spans="1:29" x14ac:dyDescent="0.3">
      <c r="A7" s="1">
        <v>5642</v>
      </c>
      <c r="B7" s="1">
        <v>1979</v>
      </c>
      <c r="C7" s="1" t="s">
        <v>34</v>
      </c>
      <c r="D7" s="1" t="s">
        <v>35</v>
      </c>
      <c r="E7" s="1">
        <v>62499</v>
      </c>
      <c r="F7" s="1">
        <v>1</v>
      </c>
      <c r="G7" s="1">
        <v>0</v>
      </c>
      <c r="H7" s="2">
        <v>41617</v>
      </c>
      <c r="I7" s="1">
        <v>0</v>
      </c>
      <c r="J7" s="1">
        <v>140</v>
      </c>
      <c r="K7" s="1">
        <v>4</v>
      </c>
      <c r="L7" s="1">
        <v>61</v>
      </c>
      <c r="M7" s="1">
        <v>0</v>
      </c>
      <c r="N7" s="1">
        <v>13</v>
      </c>
      <c r="O7" s="1">
        <v>4</v>
      </c>
      <c r="P7" s="1">
        <v>2</v>
      </c>
      <c r="Q7" s="1">
        <v>3</v>
      </c>
      <c r="R7" s="1">
        <v>1</v>
      </c>
      <c r="S7" s="1">
        <v>6</v>
      </c>
      <c r="T7" s="1">
        <v>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3</v>
      </c>
      <c r="AB7" s="1">
        <v>11</v>
      </c>
      <c r="AC7" s="1">
        <v>0</v>
      </c>
    </row>
    <row r="8" spans="1:29" x14ac:dyDescent="0.3">
      <c r="A8" s="1">
        <v>5529</v>
      </c>
      <c r="B8" s="1">
        <v>1946</v>
      </c>
      <c r="C8" s="1" t="s">
        <v>36</v>
      </c>
      <c r="D8" s="1" t="s">
        <v>35</v>
      </c>
      <c r="E8" s="1">
        <v>64014</v>
      </c>
      <c r="F8" s="1">
        <v>2</v>
      </c>
      <c r="G8" s="1">
        <v>1</v>
      </c>
      <c r="H8" s="2">
        <v>41800</v>
      </c>
      <c r="I8" s="1">
        <v>56</v>
      </c>
      <c r="J8" s="1">
        <v>406</v>
      </c>
      <c r="K8" s="1">
        <v>0</v>
      </c>
      <c r="L8" s="1">
        <v>30</v>
      </c>
      <c r="M8" s="1">
        <v>0</v>
      </c>
      <c r="N8" s="1">
        <v>0</v>
      </c>
      <c r="O8" s="1">
        <v>8</v>
      </c>
      <c r="P8" s="1">
        <v>7</v>
      </c>
      <c r="Q8" s="1">
        <v>8</v>
      </c>
      <c r="R8" s="1">
        <v>2</v>
      </c>
      <c r="S8" s="1">
        <v>5</v>
      </c>
      <c r="T8" s="1">
        <v>7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3</v>
      </c>
      <c r="AB8" s="1">
        <v>11</v>
      </c>
      <c r="AC8" s="1">
        <v>0</v>
      </c>
    </row>
    <row r="9" spans="1:29" x14ac:dyDescent="0.3">
      <c r="A9" s="1">
        <v>6504</v>
      </c>
      <c r="B9" s="1">
        <v>1975</v>
      </c>
      <c r="C9" s="1" t="s">
        <v>29</v>
      </c>
      <c r="D9" s="1" t="s">
        <v>35</v>
      </c>
      <c r="E9" s="1">
        <v>19789</v>
      </c>
      <c r="F9" s="1">
        <v>1</v>
      </c>
      <c r="G9" s="1">
        <v>0</v>
      </c>
      <c r="H9" s="2">
        <v>41598</v>
      </c>
      <c r="I9" s="1">
        <v>24</v>
      </c>
      <c r="J9" s="1">
        <v>2</v>
      </c>
      <c r="K9" s="1">
        <v>5</v>
      </c>
      <c r="L9" s="1">
        <v>9</v>
      </c>
      <c r="M9" s="1">
        <v>28</v>
      </c>
      <c r="N9" s="1">
        <v>6</v>
      </c>
      <c r="O9" s="1">
        <v>28</v>
      </c>
      <c r="P9" s="1">
        <v>3</v>
      </c>
      <c r="Q9" s="1">
        <v>2</v>
      </c>
      <c r="R9" s="1">
        <v>1</v>
      </c>
      <c r="S9" s="1">
        <v>3</v>
      </c>
      <c r="T9" s="1">
        <v>5</v>
      </c>
      <c r="U9" s="1">
        <v>1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3</v>
      </c>
      <c r="AB9" s="1">
        <v>11</v>
      </c>
      <c r="AC9" s="1">
        <v>0</v>
      </c>
    </row>
    <row r="10" spans="1:29" x14ac:dyDescent="0.3">
      <c r="A10" s="1">
        <v>5682</v>
      </c>
      <c r="B10" s="1">
        <v>1953</v>
      </c>
      <c r="C10" s="1" t="s">
        <v>36</v>
      </c>
      <c r="D10" s="1" t="s">
        <v>33</v>
      </c>
      <c r="E10" s="1">
        <v>64108</v>
      </c>
      <c r="F10" s="1">
        <v>0</v>
      </c>
      <c r="G10" s="1">
        <v>1</v>
      </c>
      <c r="H10" s="2">
        <v>41356</v>
      </c>
      <c r="I10" s="1">
        <v>8</v>
      </c>
      <c r="J10" s="1">
        <v>948</v>
      </c>
      <c r="K10" s="1">
        <v>10</v>
      </c>
      <c r="L10" s="1">
        <v>86</v>
      </c>
      <c r="M10" s="1">
        <v>13</v>
      </c>
      <c r="N10" s="1">
        <v>21</v>
      </c>
      <c r="O10" s="1">
        <v>21</v>
      </c>
      <c r="P10" s="1">
        <v>4</v>
      </c>
      <c r="Q10" s="1">
        <v>6</v>
      </c>
      <c r="R10" s="1">
        <v>9</v>
      </c>
      <c r="S10" s="1">
        <v>11</v>
      </c>
      <c r="T10" s="1">
        <v>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11</v>
      </c>
      <c r="AC10" s="1">
        <v>0</v>
      </c>
    </row>
    <row r="11" spans="1:29" x14ac:dyDescent="0.3">
      <c r="A11" s="1">
        <v>10446</v>
      </c>
      <c r="B11" s="1">
        <v>1957</v>
      </c>
      <c r="C11" s="1" t="s">
        <v>36</v>
      </c>
      <c r="D11" s="1" t="s">
        <v>30</v>
      </c>
      <c r="E11" s="1">
        <v>82017</v>
      </c>
      <c r="F11" s="1">
        <v>0</v>
      </c>
      <c r="G11" s="1">
        <v>0</v>
      </c>
      <c r="H11" s="2">
        <v>41220</v>
      </c>
      <c r="I11" s="1">
        <v>58</v>
      </c>
      <c r="J11" s="1">
        <v>184</v>
      </c>
      <c r="K11" s="1">
        <v>23</v>
      </c>
      <c r="L11" s="1">
        <v>446</v>
      </c>
      <c r="M11" s="1">
        <v>30</v>
      </c>
      <c r="N11" s="1">
        <v>23</v>
      </c>
      <c r="O11" s="1">
        <v>23</v>
      </c>
      <c r="P11" s="1">
        <v>1</v>
      </c>
      <c r="Q11" s="1">
        <v>5</v>
      </c>
      <c r="R11" s="1">
        <v>4</v>
      </c>
      <c r="S11" s="1">
        <v>7</v>
      </c>
      <c r="T11" s="1">
        <v>2</v>
      </c>
      <c r="U11" s="1">
        <v>0</v>
      </c>
      <c r="V11" s="1">
        <v>1</v>
      </c>
      <c r="W11" s="1">
        <v>1</v>
      </c>
      <c r="X11" s="1">
        <v>1</v>
      </c>
      <c r="Y11" s="1">
        <v>0</v>
      </c>
      <c r="Z11" s="1">
        <v>0</v>
      </c>
      <c r="AA11" s="1">
        <v>3</v>
      </c>
      <c r="AB11" s="1">
        <v>11</v>
      </c>
      <c r="AC11" s="1">
        <v>1</v>
      </c>
    </row>
    <row r="12" spans="1:29" x14ac:dyDescent="0.3">
      <c r="A12" s="1">
        <v>5907</v>
      </c>
      <c r="B12" s="1">
        <v>1952</v>
      </c>
      <c r="C12" s="1" t="s">
        <v>34</v>
      </c>
      <c r="D12" s="1" t="s">
        <v>30</v>
      </c>
      <c r="E12" s="1">
        <v>33444</v>
      </c>
      <c r="F12" s="1">
        <v>1</v>
      </c>
      <c r="G12" s="1">
        <v>1</v>
      </c>
      <c r="H12" s="2">
        <v>41216</v>
      </c>
      <c r="I12" s="1">
        <v>24</v>
      </c>
      <c r="J12" s="1">
        <v>8</v>
      </c>
      <c r="K12" s="1">
        <v>0</v>
      </c>
      <c r="L12" s="1">
        <v>8</v>
      </c>
      <c r="M12" s="1">
        <v>0</v>
      </c>
      <c r="N12" s="1">
        <v>0</v>
      </c>
      <c r="O12" s="1">
        <v>2</v>
      </c>
      <c r="P12" s="1">
        <v>1</v>
      </c>
      <c r="Q12" s="1">
        <v>1</v>
      </c>
      <c r="R12" s="1">
        <v>0</v>
      </c>
      <c r="S12" s="1">
        <v>2</v>
      </c>
      <c r="T12" s="1">
        <v>8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3</v>
      </c>
      <c r="AB12" s="1">
        <v>11</v>
      </c>
      <c r="AC12" s="1">
        <v>0</v>
      </c>
    </row>
    <row r="13" spans="1:29" x14ac:dyDescent="0.3">
      <c r="A13" s="1">
        <v>5048</v>
      </c>
      <c r="B13" s="1">
        <v>1971</v>
      </c>
      <c r="C13" s="1" t="s">
        <v>36</v>
      </c>
      <c r="D13" s="1" t="s">
        <v>33</v>
      </c>
      <c r="E13" s="1">
        <v>42767</v>
      </c>
      <c r="F13" s="1">
        <v>2</v>
      </c>
      <c r="G13" s="1">
        <v>0</v>
      </c>
      <c r="H13" s="2">
        <v>41405</v>
      </c>
      <c r="I13" s="1">
        <v>53</v>
      </c>
      <c r="J13" s="1">
        <v>20</v>
      </c>
      <c r="K13" s="1">
        <v>6</v>
      </c>
      <c r="L13" s="1">
        <v>43</v>
      </c>
      <c r="M13" s="1">
        <v>19</v>
      </c>
      <c r="N13" s="1">
        <v>5</v>
      </c>
      <c r="O13" s="1">
        <v>38</v>
      </c>
      <c r="P13" s="1">
        <v>1</v>
      </c>
      <c r="Q13" s="1">
        <v>3</v>
      </c>
      <c r="R13" s="1">
        <v>1</v>
      </c>
      <c r="S13" s="1">
        <v>2</v>
      </c>
      <c r="T13" s="1">
        <v>8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3</v>
      </c>
      <c r="AB13" s="1">
        <v>11</v>
      </c>
      <c r="AC13" s="1">
        <v>0</v>
      </c>
    </row>
    <row r="14" spans="1:29" x14ac:dyDescent="0.3">
      <c r="A14" s="1">
        <v>1127</v>
      </c>
      <c r="B14" s="1">
        <v>1973</v>
      </c>
      <c r="C14" s="1" t="s">
        <v>36</v>
      </c>
      <c r="D14" s="1" t="s">
        <v>30</v>
      </c>
      <c r="E14" s="1">
        <v>85844</v>
      </c>
      <c r="F14" s="1">
        <v>0</v>
      </c>
      <c r="G14" s="1">
        <v>0</v>
      </c>
      <c r="H14" s="2">
        <v>41788</v>
      </c>
      <c r="I14" s="1">
        <v>62</v>
      </c>
      <c r="J14" s="1">
        <v>938</v>
      </c>
      <c r="K14" s="1">
        <v>19</v>
      </c>
      <c r="L14" s="1">
        <v>843</v>
      </c>
      <c r="M14" s="1">
        <v>25</v>
      </c>
      <c r="N14" s="1">
        <v>95</v>
      </c>
      <c r="O14" s="1">
        <v>38</v>
      </c>
      <c r="P14" s="1">
        <v>1</v>
      </c>
      <c r="Q14" s="1">
        <v>6</v>
      </c>
      <c r="R14" s="1">
        <v>6</v>
      </c>
      <c r="S14" s="1">
        <v>7</v>
      </c>
      <c r="T14" s="1">
        <v>2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3</v>
      </c>
      <c r="AB14" s="1">
        <v>11</v>
      </c>
      <c r="AC14" s="1">
        <v>0</v>
      </c>
    </row>
    <row r="15" spans="1:29" x14ac:dyDescent="0.3">
      <c r="A15" s="1">
        <v>236</v>
      </c>
      <c r="B15" s="1">
        <v>1951</v>
      </c>
      <c r="C15" s="1" t="s">
        <v>31</v>
      </c>
      <c r="D15" s="1" t="s">
        <v>30</v>
      </c>
      <c r="E15" s="1">
        <v>34838</v>
      </c>
      <c r="F15" s="1">
        <v>1</v>
      </c>
      <c r="G15" s="1">
        <v>1</v>
      </c>
      <c r="H15" s="2">
        <v>41293</v>
      </c>
      <c r="I15" s="1">
        <v>62</v>
      </c>
      <c r="J15" s="1">
        <v>28</v>
      </c>
      <c r="K15" s="1">
        <v>23</v>
      </c>
      <c r="L15" s="1">
        <v>29</v>
      </c>
      <c r="M15" s="1">
        <v>29</v>
      </c>
      <c r="N15" s="1">
        <v>14</v>
      </c>
      <c r="O15" s="1">
        <v>47</v>
      </c>
      <c r="P15" s="1">
        <v>3</v>
      </c>
      <c r="Q15" s="1">
        <v>2</v>
      </c>
      <c r="R15" s="1">
        <v>1</v>
      </c>
      <c r="S15" s="1">
        <v>4</v>
      </c>
      <c r="T15" s="1">
        <v>6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3</v>
      </c>
      <c r="AB15" s="1">
        <v>11</v>
      </c>
      <c r="AC15" s="1">
        <v>0</v>
      </c>
    </row>
    <row r="16" spans="1:29" x14ac:dyDescent="0.3">
      <c r="A16" s="1">
        <v>3427</v>
      </c>
      <c r="B16" s="1">
        <v>1955</v>
      </c>
      <c r="C16" s="1" t="s">
        <v>36</v>
      </c>
      <c r="D16" s="1" t="s">
        <v>30</v>
      </c>
      <c r="E16" s="1">
        <v>59821</v>
      </c>
      <c r="F16" s="1">
        <v>0</v>
      </c>
      <c r="G16" s="1">
        <v>1</v>
      </c>
      <c r="H16" s="2">
        <v>41376</v>
      </c>
      <c r="I16" s="1">
        <v>11</v>
      </c>
      <c r="J16" s="1">
        <v>629</v>
      </c>
      <c r="K16" s="1">
        <v>0</v>
      </c>
      <c r="L16" s="1">
        <v>70</v>
      </c>
      <c r="M16" s="1">
        <v>0</v>
      </c>
      <c r="N16" s="1">
        <v>0</v>
      </c>
      <c r="O16" s="1">
        <v>35</v>
      </c>
      <c r="P16" s="1">
        <v>6</v>
      </c>
      <c r="Q16" s="1">
        <v>11</v>
      </c>
      <c r="R16" s="1">
        <v>2</v>
      </c>
      <c r="S16" s="1">
        <v>7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3</v>
      </c>
      <c r="AB16" s="1">
        <v>11</v>
      </c>
      <c r="AC16" s="1">
        <v>0</v>
      </c>
    </row>
    <row r="17" spans="1:29" x14ac:dyDescent="0.3">
      <c r="A17" s="1">
        <v>3846</v>
      </c>
      <c r="B17" s="1">
        <v>1974</v>
      </c>
      <c r="C17" s="1" t="s">
        <v>31</v>
      </c>
      <c r="D17" s="1" t="s">
        <v>30</v>
      </c>
      <c r="E17" s="1">
        <v>42557</v>
      </c>
      <c r="F17" s="1">
        <v>0</v>
      </c>
      <c r="G17" s="1">
        <v>1</v>
      </c>
      <c r="H17" s="2">
        <v>41150</v>
      </c>
      <c r="I17" s="1">
        <v>98</v>
      </c>
      <c r="J17" s="1">
        <v>192</v>
      </c>
      <c r="K17" s="1">
        <v>5</v>
      </c>
      <c r="L17" s="1">
        <v>53</v>
      </c>
      <c r="M17" s="1">
        <v>0</v>
      </c>
      <c r="N17" s="1">
        <v>5</v>
      </c>
      <c r="O17" s="1">
        <v>15</v>
      </c>
      <c r="P17" s="1">
        <v>4</v>
      </c>
      <c r="Q17" s="1">
        <v>6</v>
      </c>
      <c r="R17" s="1">
        <v>1</v>
      </c>
      <c r="S17" s="1">
        <v>4</v>
      </c>
      <c r="T17" s="1">
        <v>8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3</v>
      </c>
      <c r="AB17" s="1">
        <v>11</v>
      </c>
      <c r="AC17" s="1">
        <v>0</v>
      </c>
    </row>
    <row r="18" spans="1:29" x14ac:dyDescent="0.3">
      <c r="A18" s="1">
        <v>5966</v>
      </c>
      <c r="B18" s="1">
        <v>1974</v>
      </c>
      <c r="C18" s="1" t="s">
        <v>36</v>
      </c>
      <c r="D18" s="1" t="s">
        <v>30</v>
      </c>
      <c r="E18" s="1">
        <v>45207</v>
      </c>
      <c r="F18" s="1">
        <v>1</v>
      </c>
      <c r="G18" s="1">
        <v>1</v>
      </c>
      <c r="H18" s="2">
        <v>41223</v>
      </c>
      <c r="I18" s="1">
        <v>64</v>
      </c>
      <c r="J18" s="1">
        <v>203</v>
      </c>
      <c r="K18" s="1">
        <v>0</v>
      </c>
      <c r="L18" s="1">
        <v>10</v>
      </c>
      <c r="M18" s="1">
        <v>0</v>
      </c>
      <c r="N18" s="1">
        <v>0</v>
      </c>
      <c r="O18" s="1">
        <v>2</v>
      </c>
      <c r="P18" s="1">
        <v>5</v>
      </c>
      <c r="Q18" s="1">
        <v>3</v>
      </c>
      <c r="R18" s="1">
        <v>1</v>
      </c>
      <c r="S18" s="1">
        <v>6</v>
      </c>
      <c r="T18" s="1">
        <v>6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0</v>
      </c>
      <c r="AA18" s="1">
        <v>3</v>
      </c>
      <c r="AB18" s="1">
        <v>11</v>
      </c>
      <c r="AC18" s="1">
        <v>0</v>
      </c>
    </row>
    <row r="19" spans="1:29" x14ac:dyDescent="0.3">
      <c r="A19" s="1">
        <v>1834</v>
      </c>
      <c r="B19" s="1">
        <v>1978</v>
      </c>
      <c r="C19" s="1" t="s">
        <v>34</v>
      </c>
      <c r="D19" s="1" t="s">
        <v>33</v>
      </c>
      <c r="E19" s="1">
        <v>35544</v>
      </c>
      <c r="F19" s="1">
        <v>1</v>
      </c>
      <c r="G19" s="1">
        <v>0</v>
      </c>
      <c r="H19" s="2">
        <v>41706</v>
      </c>
      <c r="I19" s="1">
        <v>77</v>
      </c>
      <c r="J19" s="1">
        <v>30</v>
      </c>
      <c r="K19" s="1">
        <v>5</v>
      </c>
      <c r="L19" s="1">
        <v>23</v>
      </c>
      <c r="M19" s="1">
        <v>4</v>
      </c>
      <c r="N19" s="1">
        <v>1</v>
      </c>
      <c r="O19" s="1">
        <v>4</v>
      </c>
      <c r="P19" s="1">
        <v>1</v>
      </c>
      <c r="Q19" s="1">
        <v>2</v>
      </c>
      <c r="R19" s="1">
        <v>0</v>
      </c>
      <c r="S19" s="1">
        <v>3</v>
      </c>
      <c r="T19" s="1">
        <v>7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3</v>
      </c>
      <c r="AB19" s="1">
        <v>11</v>
      </c>
      <c r="AC19" s="1">
        <v>0</v>
      </c>
    </row>
    <row r="20" spans="1:29" x14ac:dyDescent="0.3">
      <c r="A20" s="1">
        <v>4065</v>
      </c>
      <c r="B20" s="1">
        <v>1976</v>
      </c>
      <c r="C20" s="1" t="s">
        <v>36</v>
      </c>
      <c r="D20" s="1" t="s">
        <v>30</v>
      </c>
      <c r="E20" s="1">
        <v>49544</v>
      </c>
      <c r="F20" s="1">
        <v>1</v>
      </c>
      <c r="G20" s="1">
        <v>0</v>
      </c>
      <c r="H20" s="2">
        <v>41317</v>
      </c>
      <c r="I20" s="1">
        <v>0</v>
      </c>
      <c r="J20" s="1">
        <v>308</v>
      </c>
      <c r="K20" s="1">
        <v>0</v>
      </c>
      <c r="L20" s="1">
        <v>73</v>
      </c>
      <c r="M20" s="1">
        <v>0</v>
      </c>
      <c r="N20" s="1">
        <v>0</v>
      </c>
      <c r="O20" s="1">
        <v>23</v>
      </c>
      <c r="P20" s="1">
        <v>2</v>
      </c>
      <c r="Q20" s="1">
        <v>5</v>
      </c>
      <c r="R20" s="1">
        <v>1</v>
      </c>
      <c r="S20" s="1">
        <v>8</v>
      </c>
      <c r="T20" s="1">
        <v>7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3</v>
      </c>
      <c r="AB20" s="1">
        <v>11</v>
      </c>
      <c r="AC20" s="1">
        <v>0</v>
      </c>
    </row>
    <row r="21" spans="1:29" x14ac:dyDescent="0.3">
      <c r="A21" s="1">
        <v>3828</v>
      </c>
      <c r="B21" s="1">
        <v>1951</v>
      </c>
      <c r="C21" s="1" t="s">
        <v>31</v>
      </c>
      <c r="D21" s="1" t="s">
        <v>30</v>
      </c>
      <c r="E21" s="1">
        <v>71107</v>
      </c>
      <c r="F21" s="1">
        <v>0</v>
      </c>
      <c r="G21" s="1">
        <v>1</v>
      </c>
      <c r="H21" s="2">
        <v>41322</v>
      </c>
      <c r="I21" s="1">
        <v>61</v>
      </c>
      <c r="J21" s="1">
        <v>533</v>
      </c>
      <c r="K21" s="1">
        <v>10</v>
      </c>
      <c r="L21" s="1">
        <v>217</v>
      </c>
      <c r="M21" s="1">
        <v>198</v>
      </c>
      <c r="N21" s="1">
        <v>174</v>
      </c>
      <c r="O21" s="1">
        <v>195</v>
      </c>
      <c r="P21" s="1">
        <v>2</v>
      </c>
      <c r="Q21" s="1">
        <v>7</v>
      </c>
      <c r="R21" s="1">
        <v>6</v>
      </c>
      <c r="S21" s="1">
        <v>13</v>
      </c>
      <c r="T21" s="1">
        <v>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3</v>
      </c>
      <c r="AB21" s="1">
        <v>11</v>
      </c>
      <c r="AC21" s="1">
        <v>0</v>
      </c>
    </row>
    <row r="22" spans="1:29" x14ac:dyDescent="0.3">
      <c r="A22" s="1">
        <v>3878</v>
      </c>
      <c r="B22" s="1">
        <v>1980</v>
      </c>
      <c r="C22" s="1" t="s">
        <v>29</v>
      </c>
      <c r="D22" s="1" t="s">
        <v>33</v>
      </c>
      <c r="E22" s="1">
        <v>31859</v>
      </c>
      <c r="F22" s="1">
        <v>1</v>
      </c>
      <c r="G22" s="1">
        <v>0</v>
      </c>
      <c r="H22" s="2">
        <v>41697</v>
      </c>
      <c r="I22" s="1">
        <v>3</v>
      </c>
      <c r="J22" s="1">
        <v>3</v>
      </c>
      <c r="K22" s="1">
        <v>4</v>
      </c>
      <c r="L22" s="1">
        <v>7</v>
      </c>
      <c r="M22" s="1">
        <v>15</v>
      </c>
      <c r="N22" s="1">
        <v>8</v>
      </c>
      <c r="O22" s="1">
        <v>11</v>
      </c>
      <c r="P22" s="1">
        <v>1</v>
      </c>
      <c r="Q22" s="1">
        <v>1</v>
      </c>
      <c r="R22" s="1">
        <v>0</v>
      </c>
      <c r="S22" s="1">
        <v>3</v>
      </c>
      <c r="T22" s="1">
        <v>7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3</v>
      </c>
      <c r="AB22" s="1">
        <v>11</v>
      </c>
      <c r="AC22" s="1">
        <v>0</v>
      </c>
    </row>
    <row r="23" spans="1:29" x14ac:dyDescent="0.3">
      <c r="A23" s="1">
        <v>2948</v>
      </c>
      <c r="B23" s="1">
        <v>1954</v>
      </c>
      <c r="C23" s="1" t="s">
        <v>34</v>
      </c>
      <c r="D23" s="1" t="s">
        <v>32</v>
      </c>
      <c r="E23" s="1">
        <v>62637</v>
      </c>
      <c r="F23" s="1">
        <v>0</v>
      </c>
      <c r="G23" s="1">
        <v>1</v>
      </c>
      <c r="H23" s="2">
        <v>41699</v>
      </c>
      <c r="I23" s="1">
        <v>76</v>
      </c>
      <c r="J23" s="1">
        <v>104</v>
      </c>
      <c r="K23" s="1">
        <v>12</v>
      </c>
      <c r="L23" s="1">
        <v>48</v>
      </c>
      <c r="M23" s="1">
        <v>4</v>
      </c>
      <c r="N23" s="1">
        <v>12</v>
      </c>
      <c r="O23" s="1">
        <v>5</v>
      </c>
      <c r="P23" s="1">
        <v>1</v>
      </c>
      <c r="Q23" s="1">
        <v>2</v>
      </c>
      <c r="R23" s="1">
        <v>2</v>
      </c>
      <c r="S23" s="1">
        <v>5</v>
      </c>
      <c r="T23" s="1">
        <v>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3</v>
      </c>
      <c r="AB23" s="1">
        <v>11</v>
      </c>
      <c r="AC23" s="1">
        <v>0</v>
      </c>
    </row>
    <row r="24" spans="1:29" x14ac:dyDescent="0.3">
      <c r="A24" s="1">
        <v>6387</v>
      </c>
      <c r="B24" s="1">
        <v>1976</v>
      </c>
      <c r="C24" s="1" t="s">
        <v>36</v>
      </c>
      <c r="D24" s="1" t="s">
        <v>35</v>
      </c>
      <c r="E24" s="1">
        <v>52190</v>
      </c>
      <c r="F24" s="1">
        <v>1</v>
      </c>
      <c r="G24" s="1">
        <v>1</v>
      </c>
      <c r="H24" s="2">
        <v>41767</v>
      </c>
      <c r="I24" s="1">
        <v>39</v>
      </c>
      <c r="J24" s="1">
        <v>42</v>
      </c>
      <c r="K24" s="1">
        <v>0</v>
      </c>
      <c r="L24" s="1">
        <v>17</v>
      </c>
      <c r="M24" s="1">
        <v>0</v>
      </c>
      <c r="N24" s="1">
        <v>0</v>
      </c>
      <c r="O24" s="1">
        <v>18</v>
      </c>
      <c r="P24" s="1">
        <v>3</v>
      </c>
      <c r="Q24" s="1">
        <v>2</v>
      </c>
      <c r="R24" s="1">
        <v>1</v>
      </c>
      <c r="S24" s="1">
        <v>3</v>
      </c>
      <c r="T24" s="1">
        <v>5</v>
      </c>
      <c r="U24" s="1">
        <v>1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3</v>
      </c>
      <c r="AB24" s="1">
        <v>11</v>
      </c>
      <c r="AC24" s="1">
        <v>0</v>
      </c>
    </row>
    <row r="25" spans="1:29" x14ac:dyDescent="0.3">
      <c r="A25" s="1">
        <v>3619</v>
      </c>
      <c r="B25" s="1">
        <v>1960</v>
      </c>
      <c r="C25" s="1" t="s">
        <v>29</v>
      </c>
      <c r="D25" s="1" t="s">
        <v>32</v>
      </c>
      <c r="E25" s="1">
        <v>87305</v>
      </c>
      <c r="F25" s="1">
        <v>0</v>
      </c>
      <c r="G25" s="1">
        <v>0</v>
      </c>
      <c r="H25" s="2">
        <v>41175</v>
      </c>
      <c r="I25" s="1">
        <v>19</v>
      </c>
      <c r="J25" s="1">
        <v>345</v>
      </c>
      <c r="K25" s="1">
        <v>25</v>
      </c>
      <c r="L25" s="1">
        <v>501</v>
      </c>
      <c r="M25" s="1">
        <v>63</v>
      </c>
      <c r="N25" s="1">
        <v>138</v>
      </c>
      <c r="O25" s="1">
        <v>80</v>
      </c>
      <c r="P25" s="1">
        <v>1</v>
      </c>
      <c r="Q25" s="1">
        <v>5</v>
      </c>
      <c r="R25" s="1">
        <v>3</v>
      </c>
      <c r="S25" s="1">
        <v>8</v>
      </c>
      <c r="T25" s="1">
        <v>2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3</v>
      </c>
      <c r="AB25" s="1">
        <v>11</v>
      </c>
      <c r="AC25" s="1">
        <v>1</v>
      </c>
    </row>
    <row r="26" spans="1:29" x14ac:dyDescent="0.3">
      <c r="A26" s="1">
        <v>5545</v>
      </c>
      <c r="B26" s="1">
        <v>1972</v>
      </c>
      <c r="C26" s="1" t="s">
        <v>36</v>
      </c>
      <c r="D26" s="1" t="s">
        <v>30</v>
      </c>
      <c r="E26" s="1">
        <v>78075</v>
      </c>
      <c r="F26" s="1">
        <v>0</v>
      </c>
      <c r="G26" s="1">
        <v>0</v>
      </c>
      <c r="H26" s="2">
        <v>41734</v>
      </c>
      <c r="I26" s="1">
        <v>72</v>
      </c>
      <c r="J26" s="1">
        <v>572</v>
      </c>
      <c r="K26" s="1">
        <v>8</v>
      </c>
      <c r="L26" s="1">
        <v>259</v>
      </c>
      <c r="M26" s="1">
        <v>34</v>
      </c>
      <c r="N26" s="1">
        <v>35</v>
      </c>
      <c r="O26" s="1">
        <v>80</v>
      </c>
      <c r="P26" s="1">
        <v>1</v>
      </c>
      <c r="Q26" s="1">
        <v>3</v>
      </c>
      <c r="R26" s="1">
        <v>5</v>
      </c>
      <c r="S26" s="1">
        <v>5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3</v>
      </c>
      <c r="AB26" s="1">
        <v>11</v>
      </c>
      <c r="AC26" s="1">
        <v>0</v>
      </c>
    </row>
    <row r="27" spans="1:29" x14ac:dyDescent="0.3">
      <c r="A27" s="1">
        <v>9140</v>
      </c>
      <c r="B27" s="1">
        <v>1960</v>
      </c>
      <c r="C27" s="1" t="s">
        <v>29</v>
      </c>
      <c r="D27" s="1" t="s">
        <v>35</v>
      </c>
      <c r="E27" s="1">
        <v>50523</v>
      </c>
      <c r="F27" s="1">
        <v>1</v>
      </c>
      <c r="G27" s="1">
        <v>1</v>
      </c>
      <c r="H27" s="2">
        <v>41633</v>
      </c>
      <c r="I27" s="1">
        <v>89</v>
      </c>
      <c r="J27" s="1">
        <v>51</v>
      </c>
      <c r="K27" s="1">
        <v>4</v>
      </c>
      <c r="L27" s="1">
        <v>24</v>
      </c>
      <c r="M27" s="1">
        <v>4</v>
      </c>
      <c r="N27" s="1">
        <v>7</v>
      </c>
      <c r="O27" s="1">
        <v>1</v>
      </c>
      <c r="P27" s="1">
        <v>2</v>
      </c>
      <c r="Q27" s="1">
        <v>2</v>
      </c>
      <c r="R27" s="1">
        <v>0</v>
      </c>
      <c r="S27" s="1">
        <v>4</v>
      </c>
      <c r="T27" s="1">
        <v>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3</v>
      </c>
      <c r="AB27" s="1">
        <v>11</v>
      </c>
      <c r="AC27" s="1">
        <v>0</v>
      </c>
    </row>
    <row r="28" spans="1:29" x14ac:dyDescent="0.3">
      <c r="A28" s="1">
        <v>7004</v>
      </c>
      <c r="B28" s="1">
        <v>1984</v>
      </c>
      <c r="C28" s="1" t="s">
        <v>31</v>
      </c>
      <c r="D28" s="1" t="s">
        <v>33</v>
      </c>
      <c r="E28" s="1">
        <v>11012</v>
      </c>
      <c r="F28" s="1">
        <v>1</v>
      </c>
      <c r="G28" s="1">
        <v>0</v>
      </c>
      <c r="H28" s="2">
        <v>41349</v>
      </c>
      <c r="I28" s="1">
        <v>82</v>
      </c>
      <c r="J28" s="1">
        <v>24</v>
      </c>
      <c r="K28" s="1">
        <v>3</v>
      </c>
      <c r="L28" s="1">
        <v>26</v>
      </c>
      <c r="M28" s="1">
        <v>7</v>
      </c>
      <c r="N28" s="1">
        <v>1</v>
      </c>
      <c r="O28" s="1">
        <v>23</v>
      </c>
      <c r="P28" s="1">
        <v>3</v>
      </c>
      <c r="Q28" s="1">
        <v>3</v>
      </c>
      <c r="R28" s="1">
        <v>1</v>
      </c>
      <c r="S28" s="1">
        <v>2</v>
      </c>
      <c r="T28" s="1">
        <v>9</v>
      </c>
      <c r="U28" s="1">
        <v>1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11</v>
      </c>
      <c r="AC28" s="1">
        <v>0</v>
      </c>
    </row>
    <row r="29" spans="1:29" x14ac:dyDescent="0.3">
      <c r="A29" s="1">
        <v>8091</v>
      </c>
      <c r="B29" s="1">
        <v>1956</v>
      </c>
      <c r="C29" s="1" t="s">
        <v>31</v>
      </c>
      <c r="D29" s="1" t="s">
        <v>30</v>
      </c>
      <c r="E29" s="1">
        <v>63943</v>
      </c>
      <c r="F29" s="1">
        <v>0</v>
      </c>
      <c r="G29" s="1">
        <v>1</v>
      </c>
      <c r="H29" s="2">
        <v>41154</v>
      </c>
      <c r="I29" s="1">
        <v>50</v>
      </c>
      <c r="J29" s="1">
        <v>423</v>
      </c>
      <c r="K29" s="1">
        <v>184</v>
      </c>
      <c r="L29" s="1">
        <v>368</v>
      </c>
      <c r="M29" s="1">
        <v>13</v>
      </c>
      <c r="N29" s="1">
        <v>97</v>
      </c>
      <c r="O29" s="1">
        <v>21</v>
      </c>
      <c r="P29" s="1">
        <v>1</v>
      </c>
      <c r="Q29" s="1">
        <v>6</v>
      </c>
      <c r="R29" s="1">
        <v>4</v>
      </c>
      <c r="S29" s="1">
        <v>6</v>
      </c>
      <c r="T29" s="1">
        <v>5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3</v>
      </c>
      <c r="AB29" s="1">
        <v>11</v>
      </c>
      <c r="AC29" s="1">
        <v>0</v>
      </c>
    </row>
    <row r="30" spans="1:29" x14ac:dyDescent="0.3">
      <c r="A30" s="1">
        <v>6281</v>
      </c>
      <c r="B30" s="1">
        <v>1966</v>
      </c>
      <c r="C30" s="1" t="s">
        <v>31</v>
      </c>
      <c r="D30" s="1" t="s">
        <v>32</v>
      </c>
      <c r="E30" s="1">
        <v>55686</v>
      </c>
      <c r="F30" s="1">
        <v>0</v>
      </c>
      <c r="G30" s="1">
        <v>1</v>
      </c>
      <c r="H30" s="2">
        <v>41319</v>
      </c>
      <c r="I30" s="1">
        <v>27</v>
      </c>
      <c r="J30" s="1">
        <v>673</v>
      </c>
      <c r="K30" s="1">
        <v>0</v>
      </c>
      <c r="L30" s="1">
        <v>199</v>
      </c>
      <c r="M30" s="1">
        <v>37</v>
      </c>
      <c r="N30" s="1">
        <v>47</v>
      </c>
      <c r="O30" s="1">
        <v>26</v>
      </c>
      <c r="P30" s="1">
        <v>2</v>
      </c>
      <c r="Q30" s="1">
        <v>6</v>
      </c>
      <c r="R30" s="1">
        <v>3</v>
      </c>
      <c r="S30" s="1">
        <v>5</v>
      </c>
      <c r="T30" s="1">
        <v>4</v>
      </c>
      <c r="U30" s="1">
        <v>1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3</v>
      </c>
      <c r="AB30" s="1">
        <v>11</v>
      </c>
      <c r="AC30" s="1">
        <v>0</v>
      </c>
    </row>
    <row r="31" spans="1:29" x14ac:dyDescent="0.3">
      <c r="A31" s="1">
        <v>3979</v>
      </c>
      <c r="B31" s="1">
        <v>1983</v>
      </c>
      <c r="C31" s="1" t="s">
        <v>36</v>
      </c>
      <c r="D31" s="1" t="s">
        <v>32</v>
      </c>
      <c r="E31" s="1">
        <v>90687</v>
      </c>
      <c r="F31" s="1">
        <v>0</v>
      </c>
      <c r="G31" s="1">
        <v>0</v>
      </c>
      <c r="H31" s="2">
        <v>41416</v>
      </c>
      <c r="I31" s="1">
        <v>98</v>
      </c>
      <c r="J31" s="1">
        <v>982</v>
      </c>
      <c r="K31" s="1">
        <v>17</v>
      </c>
      <c r="L31" s="1">
        <v>672</v>
      </c>
      <c r="M31" s="1">
        <v>23</v>
      </c>
      <c r="N31" s="1">
        <v>34</v>
      </c>
      <c r="O31" s="1">
        <v>51</v>
      </c>
      <c r="P31" s="1">
        <v>1</v>
      </c>
      <c r="Q31" s="1">
        <v>6</v>
      </c>
      <c r="R31" s="1">
        <v>2</v>
      </c>
      <c r="S31" s="1">
        <v>8</v>
      </c>
      <c r="T31" s="1">
        <v>2</v>
      </c>
      <c r="U31" s="1">
        <v>0</v>
      </c>
      <c r="V31" s="1">
        <v>0</v>
      </c>
      <c r="W31" s="1">
        <v>1</v>
      </c>
      <c r="X31" s="1">
        <v>0</v>
      </c>
      <c r="Y31" s="1">
        <v>0</v>
      </c>
      <c r="Z31" s="1">
        <v>0</v>
      </c>
      <c r="AA31" s="1">
        <v>3</v>
      </c>
      <c r="AB31" s="1">
        <v>11</v>
      </c>
      <c r="AC31" s="1">
        <v>1</v>
      </c>
    </row>
    <row r="32" spans="1:29" x14ac:dyDescent="0.3">
      <c r="A32" s="1">
        <v>4767</v>
      </c>
      <c r="B32" s="1">
        <v>1965</v>
      </c>
      <c r="C32" s="1" t="s">
        <v>29</v>
      </c>
      <c r="D32" s="1" t="s">
        <v>30</v>
      </c>
      <c r="E32" s="1">
        <v>70924</v>
      </c>
      <c r="F32" s="1">
        <v>0</v>
      </c>
      <c r="G32" s="1">
        <v>0</v>
      </c>
      <c r="H32" s="2">
        <v>41736</v>
      </c>
      <c r="I32" s="1">
        <v>41</v>
      </c>
      <c r="J32" s="1">
        <v>635</v>
      </c>
      <c r="K32" s="1">
        <v>114</v>
      </c>
      <c r="L32" s="1">
        <v>254</v>
      </c>
      <c r="M32" s="1">
        <v>132</v>
      </c>
      <c r="N32" s="1">
        <v>152</v>
      </c>
      <c r="O32" s="1">
        <v>76</v>
      </c>
      <c r="P32" s="1">
        <v>1</v>
      </c>
      <c r="Q32" s="1">
        <v>6</v>
      </c>
      <c r="R32" s="1">
        <v>6</v>
      </c>
      <c r="S32" s="1">
        <v>7</v>
      </c>
      <c r="T32" s="1">
        <v>3</v>
      </c>
      <c r="U32" s="1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3</v>
      </c>
      <c r="AB32" s="1">
        <v>11</v>
      </c>
      <c r="AC32" s="1">
        <v>0</v>
      </c>
    </row>
    <row r="33" spans="1:29" x14ac:dyDescent="0.3">
      <c r="A33" s="1">
        <v>10475</v>
      </c>
      <c r="B33" s="1">
        <v>1970</v>
      </c>
      <c r="C33" s="1" t="s">
        <v>34</v>
      </c>
      <c r="D33" s="1" t="s">
        <v>35</v>
      </c>
      <c r="F33" s="1">
        <v>0</v>
      </c>
      <c r="G33" s="1">
        <v>1</v>
      </c>
      <c r="H33" s="2">
        <v>41365</v>
      </c>
      <c r="I33" s="1">
        <v>39</v>
      </c>
      <c r="J33" s="1">
        <v>187</v>
      </c>
      <c r="K33" s="1">
        <v>5</v>
      </c>
      <c r="L33" s="1">
        <v>65</v>
      </c>
      <c r="M33" s="1">
        <v>26</v>
      </c>
      <c r="N33" s="1">
        <v>20</v>
      </c>
      <c r="O33" s="1">
        <v>14</v>
      </c>
      <c r="P33" s="1">
        <v>2</v>
      </c>
      <c r="Q33" s="1">
        <v>4</v>
      </c>
      <c r="R33" s="1">
        <v>2</v>
      </c>
      <c r="S33" s="1">
        <v>6</v>
      </c>
      <c r="T33" s="1">
        <v>5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3</v>
      </c>
      <c r="AB33" s="1">
        <v>11</v>
      </c>
      <c r="AC33" s="1">
        <v>0</v>
      </c>
    </row>
    <row r="34" spans="1:29" x14ac:dyDescent="0.3">
      <c r="A34" s="1">
        <v>961</v>
      </c>
      <c r="B34" s="1">
        <v>1972</v>
      </c>
      <c r="C34" s="1" t="s">
        <v>31</v>
      </c>
      <c r="D34" s="1" t="s">
        <v>30</v>
      </c>
      <c r="E34" s="1">
        <v>74716</v>
      </c>
      <c r="F34" s="1">
        <v>0</v>
      </c>
      <c r="G34" s="1">
        <v>1</v>
      </c>
      <c r="H34" s="2">
        <v>41529</v>
      </c>
      <c r="I34" s="1">
        <v>92</v>
      </c>
      <c r="J34" s="1">
        <v>133</v>
      </c>
      <c r="K34" s="1">
        <v>27</v>
      </c>
      <c r="L34" s="1">
        <v>421</v>
      </c>
      <c r="M34" s="1">
        <v>13</v>
      </c>
      <c r="N34" s="1">
        <v>195</v>
      </c>
      <c r="O34" s="1">
        <v>71</v>
      </c>
      <c r="P34" s="1">
        <v>2</v>
      </c>
      <c r="Q34" s="1">
        <v>7</v>
      </c>
      <c r="R34" s="1">
        <v>3</v>
      </c>
      <c r="S34" s="1">
        <v>5</v>
      </c>
      <c r="T34" s="1">
        <v>4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3</v>
      </c>
      <c r="AB34" s="1">
        <v>11</v>
      </c>
      <c r="AC34" s="1">
        <v>0</v>
      </c>
    </row>
    <row r="35" spans="1:29" x14ac:dyDescent="0.3">
      <c r="A35" s="1">
        <v>7275</v>
      </c>
      <c r="B35" s="1">
        <v>1971</v>
      </c>
      <c r="C35" s="1" t="s">
        <v>34</v>
      </c>
      <c r="D35" s="1" t="s">
        <v>33</v>
      </c>
      <c r="E35" s="1">
        <v>33316</v>
      </c>
      <c r="F35" s="1">
        <v>1</v>
      </c>
      <c r="G35" s="1">
        <v>1</v>
      </c>
      <c r="H35" s="2">
        <v>41551</v>
      </c>
      <c r="I35" s="1">
        <v>34</v>
      </c>
      <c r="J35" s="1">
        <v>79</v>
      </c>
      <c r="K35" s="1">
        <v>1</v>
      </c>
      <c r="L35" s="1">
        <v>31</v>
      </c>
      <c r="M35" s="1">
        <v>4</v>
      </c>
      <c r="N35" s="1">
        <v>4</v>
      </c>
      <c r="O35" s="1">
        <v>12</v>
      </c>
      <c r="P35" s="1">
        <v>3</v>
      </c>
      <c r="Q35" s="1">
        <v>2</v>
      </c>
      <c r="R35" s="1">
        <v>1</v>
      </c>
      <c r="S35" s="1">
        <v>4</v>
      </c>
      <c r="T35" s="1">
        <v>6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3</v>
      </c>
      <c r="AB35" s="1">
        <v>11</v>
      </c>
      <c r="AC35" s="1">
        <v>0</v>
      </c>
    </row>
    <row r="36" spans="1:29" x14ac:dyDescent="0.3">
      <c r="A36" s="1">
        <v>3074</v>
      </c>
      <c r="B36" s="1">
        <v>1984</v>
      </c>
      <c r="C36" s="1" t="s">
        <v>36</v>
      </c>
      <c r="D36" s="1" t="s">
        <v>30</v>
      </c>
      <c r="E36" s="1">
        <v>70643</v>
      </c>
      <c r="F36" s="1">
        <v>0</v>
      </c>
      <c r="G36" s="1">
        <v>0</v>
      </c>
      <c r="H36" s="2">
        <v>41197</v>
      </c>
      <c r="I36" s="1">
        <v>66</v>
      </c>
      <c r="J36" s="1">
        <v>1218</v>
      </c>
      <c r="K36" s="1">
        <v>107</v>
      </c>
      <c r="L36" s="1">
        <v>304</v>
      </c>
      <c r="M36" s="1">
        <v>23</v>
      </c>
      <c r="N36" s="1">
        <v>143</v>
      </c>
      <c r="O36" s="1">
        <v>33</v>
      </c>
      <c r="P36" s="1">
        <v>1</v>
      </c>
      <c r="Q36" s="1">
        <v>5</v>
      </c>
      <c r="R36" s="1">
        <v>8</v>
      </c>
      <c r="S36" s="1">
        <v>4</v>
      </c>
      <c r="T36" s="1">
        <v>6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3</v>
      </c>
      <c r="AB36" s="1">
        <v>11</v>
      </c>
      <c r="AC36" s="1">
        <v>1</v>
      </c>
    </row>
    <row r="37" spans="1:29" x14ac:dyDescent="0.3">
      <c r="A37" s="1">
        <v>10868</v>
      </c>
      <c r="B37" s="1">
        <v>1951</v>
      </c>
      <c r="C37" s="1" t="s">
        <v>31</v>
      </c>
      <c r="D37" s="1" t="s">
        <v>37</v>
      </c>
      <c r="E37" s="1">
        <v>70792</v>
      </c>
      <c r="F37" s="1">
        <v>0</v>
      </c>
      <c r="G37" s="1">
        <v>0</v>
      </c>
      <c r="H37" s="2">
        <v>41311</v>
      </c>
      <c r="I37" s="1">
        <v>82</v>
      </c>
      <c r="J37" s="1">
        <v>344</v>
      </c>
      <c r="K37" s="1">
        <v>45</v>
      </c>
      <c r="L37" s="1">
        <v>654</v>
      </c>
      <c r="M37" s="1">
        <v>104</v>
      </c>
      <c r="N37" s="1">
        <v>11</v>
      </c>
      <c r="O37" s="1">
        <v>114</v>
      </c>
      <c r="P37" s="1">
        <v>2</v>
      </c>
      <c r="Q37" s="1">
        <v>3</v>
      </c>
      <c r="R37" s="1">
        <v>4</v>
      </c>
      <c r="S37" s="1">
        <v>10</v>
      </c>
      <c r="T37" s="1">
        <v>3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3</v>
      </c>
      <c r="AB37" s="1">
        <v>11</v>
      </c>
      <c r="AC37" s="1">
        <v>0</v>
      </c>
    </row>
    <row r="38" spans="1:29" x14ac:dyDescent="0.3">
      <c r="A38" s="1">
        <v>9905</v>
      </c>
      <c r="B38" s="1">
        <v>1952</v>
      </c>
      <c r="C38" s="1" t="s">
        <v>31</v>
      </c>
      <c r="D38" s="1" t="s">
        <v>35</v>
      </c>
      <c r="E38" s="1">
        <v>34074</v>
      </c>
      <c r="F38" s="1">
        <v>1</v>
      </c>
      <c r="G38" s="1">
        <v>1</v>
      </c>
      <c r="H38" s="2">
        <v>41468</v>
      </c>
      <c r="I38" s="1">
        <v>69</v>
      </c>
      <c r="J38" s="1">
        <v>135</v>
      </c>
      <c r="K38" s="1">
        <v>1</v>
      </c>
      <c r="L38" s="1">
        <v>41</v>
      </c>
      <c r="M38" s="1">
        <v>10</v>
      </c>
      <c r="N38" s="1">
        <v>1</v>
      </c>
      <c r="O38" s="1">
        <v>67</v>
      </c>
      <c r="P38" s="1">
        <v>5</v>
      </c>
      <c r="Q38" s="1">
        <v>3</v>
      </c>
      <c r="R38" s="1">
        <v>3</v>
      </c>
      <c r="S38" s="1">
        <v>3</v>
      </c>
      <c r="T38" s="1">
        <v>6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3</v>
      </c>
      <c r="AB38" s="1">
        <v>11</v>
      </c>
      <c r="AC38" s="1">
        <v>0</v>
      </c>
    </row>
    <row r="39" spans="1:29" x14ac:dyDescent="0.3">
      <c r="A39" s="1">
        <v>7019</v>
      </c>
      <c r="B39" s="1">
        <v>1963</v>
      </c>
      <c r="C39" s="1" t="s">
        <v>31</v>
      </c>
      <c r="D39" s="1" t="s">
        <v>35</v>
      </c>
      <c r="E39" s="1">
        <v>54414</v>
      </c>
      <c r="F39" s="1">
        <v>1</v>
      </c>
      <c r="G39" s="1">
        <v>1</v>
      </c>
      <c r="H39" s="2">
        <v>41297</v>
      </c>
      <c r="I39" s="1">
        <v>49</v>
      </c>
      <c r="J39" s="1">
        <v>109</v>
      </c>
      <c r="K39" s="1">
        <v>18</v>
      </c>
      <c r="L39" s="1">
        <v>16</v>
      </c>
      <c r="M39" s="1">
        <v>24</v>
      </c>
      <c r="N39" s="1">
        <v>26</v>
      </c>
      <c r="O39" s="1">
        <v>18</v>
      </c>
      <c r="P39" s="1">
        <v>4</v>
      </c>
      <c r="Q39" s="1">
        <v>3</v>
      </c>
      <c r="R39" s="1">
        <v>1</v>
      </c>
      <c r="S39" s="1">
        <v>5</v>
      </c>
      <c r="T39" s="1">
        <v>4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3</v>
      </c>
      <c r="AB39" s="1">
        <v>11</v>
      </c>
      <c r="AC39" s="1">
        <v>0</v>
      </c>
    </row>
    <row r="40" spans="1:29" x14ac:dyDescent="0.3">
      <c r="A40" s="1">
        <v>1459</v>
      </c>
      <c r="B40" s="1">
        <v>1966</v>
      </c>
      <c r="C40" s="1" t="s">
        <v>36</v>
      </c>
      <c r="D40" s="1" t="s">
        <v>30</v>
      </c>
      <c r="E40" s="1">
        <v>69063</v>
      </c>
      <c r="F40" s="1">
        <v>0</v>
      </c>
      <c r="G40" s="1">
        <v>1</v>
      </c>
      <c r="H40" s="2">
        <v>41220</v>
      </c>
      <c r="I40" s="1">
        <v>16</v>
      </c>
      <c r="J40" s="1">
        <v>666</v>
      </c>
      <c r="K40" s="1">
        <v>35</v>
      </c>
      <c r="L40" s="1">
        <v>124</v>
      </c>
      <c r="M40" s="1">
        <v>69</v>
      </c>
      <c r="N40" s="1">
        <v>8</v>
      </c>
      <c r="O40" s="1">
        <v>26</v>
      </c>
      <c r="P40" s="1">
        <v>1</v>
      </c>
      <c r="Q40" s="1">
        <v>5</v>
      </c>
      <c r="R40" s="1">
        <v>3</v>
      </c>
      <c r="S40" s="1">
        <v>5</v>
      </c>
      <c r="T40" s="1">
        <v>3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</v>
      </c>
      <c r="AB40" s="1">
        <v>11</v>
      </c>
      <c r="AC40" s="1">
        <v>0</v>
      </c>
    </row>
    <row r="41" spans="1:29" x14ac:dyDescent="0.3">
      <c r="A41" s="1">
        <v>4356</v>
      </c>
      <c r="B41" s="1">
        <v>1971</v>
      </c>
      <c r="C41" s="1" t="s">
        <v>31</v>
      </c>
      <c r="D41" s="1" t="s">
        <v>35</v>
      </c>
      <c r="E41" s="1">
        <v>71819</v>
      </c>
      <c r="F41" s="1">
        <v>0</v>
      </c>
      <c r="G41" s="1">
        <v>1</v>
      </c>
      <c r="H41" s="2">
        <v>41514</v>
      </c>
      <c r="I41" s="1">
        <v>70</v>
      </c>
      <c r="J41" s="1">
        <v>1224</v>
      </c>
      <c r="K41" s="1">
        <v>28</v>
      </c>
      <c r="L41" s="1">
        <v>140</v>
      </c>
      <c r="M41" s="1">
        <v>0</v>
      </c>
      <c r="N41" s="1">
        <v>14</v>
      </c>
      <c r="O41" s="1">
        <v>168</v>
      </c>
      <c r="P41" s="1">
        <v>3</v>
      </c>
      <c r="Q41" s="1">
        <v>3</v>
      </c>
      <c r="R41" s="1">
        <v>3</v>
      </c>
      <c r="S41" s="1">
        <v>5</v>
      </c>
      <c r="T41" s="1">
        <v>6</v>
      </c>
      <c r="U41" s="1">
        <v>0</v>
      </c>
      <c r="V41" s="1">
        <v>1</v>
      </c>
      <c r="W41" s="1">
        <v>1</v>
      </c>
      <c r="X41" s="1">
        <v>0</v>
      </c>
      <c r="Y41" s="1">
        <v>0</v>
      </c>
      <c r="Z41" s="1">
        <v>0</v>
      </c>
      <c r="AA41" s="1">
        <v>3</v>
      </c>
      <c r="AB41" s="1">
        <v>11</v>
      </c>
      <c r="AC41" s="1">
        <v>0</v>
      </c>
    </row>
    <row r="42" spans="1:29" x14ac:dyDescent="0.3">
      <c r="A42" s="1">
        <v>7055</v>
      </c>
      <c r="B42" s="1">
        <v>1952</v>
      </c>
      <c r="C42" s="1" t="s">
        <v>36</v>
      </c>
      <c r="D42" s="1" t="s">
        <v>35</v>
      </c>
      <c r="E42" s="1">
        <v>61010</v>
      </c>
      <c r="F42" s="1">
        <v>0</v>
      </c>
      <c r="G42" s="1">
        <v>1</v>
      </c>
      <c r="H42" s="2">
        <v>41191</v>
      </c>
      <c r="I42" s="1">
        <v>57</v>
      </c>
      <c r="J42" s="1">
        <v>888</v>
      </c>
      <c r="K42" s="1">
        <v>0</v>
      </c>
      <c r="L42" s="1">
        <v>57</v>
      </c>
      <c r="M42" s="1">
        <v>0</v>
      </c>
      <c r="N42" s="1">
        <v>0</v>
      </c>
      <c r="O42" s="1">
        <v>76</v>
      </c>
      <c r="P42" s="1">
        <v>2</v>
      </c>
      <c r="Q42" s="1">
        <v>8</v>
      </c>
      <c r="R42" s="1">
        <v>5</v>
      </c>
      <c r="S42" s="1">
        <v>11</v>
      </c>
      <c r="T42" s="1">
        <v>5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3</v>
      </c>
      <c r="AB42" s="1">
        <v>11</v>
      </c>
      <c r="AC42" s="1">
        <v>0</v>
      </c>
    </row>
    <row r="43" spans="1:29" x14ac:dyDescent="0.3">
      <c r="A43" s="1">
        <v>5610</v>
      </c>
      <c r="B43" s="1">
        <v>1965</v>
      </c>
      <c r="C43" s="1" t="s">
        <v>31</v>
      </c>
      <c r="D43" s="1" t="s">
        <v>35</v>
      </c>
      <c r="E43" s="1">
        <v>33456</v>
      </c>
      <c r="F43" s="1">
        <v>1</v>
      </c>
      <c r="G43" s="1">
        <v>1</v>
      </c>
      <c r="H43" s="2">
        <v>41750</v>
      </c>
      <c r="I43" s="1">
        <v>58</v>
      </c>
      <c r="J43" s="1">
        <v>7</v>
      </c>
      <c r="K43" s="1">
        <v>3</v>
      </c>
      <c r="L43" s="1">
        <v>10</v>
      </c>
      <c r="M43" s="1">
        <v>8</v>
      </c>
      <c r="N43" s="1">
        <v>1</v>
      </c>
      <c r="O43" s="1">
        <v>7</v>
      </c>
      <c r="P43" s="1">
        <v>2</v>
      </c>
      <c r="Q43" s="1">
        <v>1</v>
      </c>
      <c r="R43" s="1">
        <v>0</v>
      </c>
      <c r="S43" s="1">
        <v>3</v>
      </c>
      <c r="T43" s="1">
        <v>7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3</v>
      </c>
      <c r="AB43" s="1">
        <v>11</v>
      </c>
      <c r="AC43" s="1">
        <v>0</v>
      </c>
    </row>
    <row r="44" spans="1:29" x14ac:dyDescent="0.3">
      <c r="A44" s="1">
        <v>8210</v>
      </c>
      <c r="B44" s="1">
        <v>1975</v>
      </c>
      <c r="C44" s="1" t="s">
        <v>34</v>
      </c>
      <c r="D44" s="1" t="s">
        <v>30</v>
      </c>
      <c r="E44" s="1">
        <v>54730</v>
      </c>
      <c r="F44" s="1">
        <v>0</v>
      </c>
      <c r="G44" s="1">
        <v>1</v>
      </c>
      <c r="H44" s="2">
        <v>41501</v>
      </c>
      <c r="I44" s="1">
        <v>64</v>
      </c>
      <c r="J44" s="1">
        <v>318</v>
      </c>
      <c r="K44" s="1">
        <v>3</v>
      </c>
      <c r="L44" s="1">
        <v>17</v>
      </c>
      <c r="M44" s="1">
        <v>4</v>
      </c>
      <c r="N44" s="1">
        <v>7</v>
      </c>
      <c r="O44" s="1">
        <v>56</v>
      </c>
      <c r="P44" s="1">
        <v>5</v>
      </c>
      <c r="Q44" s="1">
        <v>4</v>
      </c>
      <c r="R44" s="1">
        <v>1</v>
      </c>
      <c r="S44" s="1">
        <v>8</v>
      </c>
      <c r="T44" s="1">
        <v>4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3</v>
      </c>
      <c r="AB44" s="1">
        <v>11</v>
      </c>
      <c r="AC44" s="1">
        <v>0</v>
      </c>
    </row>
    <row r="45" spans="1:29" x14ac:dyDescent="0.3">
      <c r="A45" s="1">
        <v>6340</v>
      </c>
      <c r="B45" s="1">
        <v>1985</v>
      </c>
      <c r="C45" s="1" t="s">
        <v>31</v>
      </c>
      <c r="D45" s="1" t="s">
        <v>33</v>
      </c>
      <c r="E45" s="1">
        <v>29938</v>
      </c>
      <c r="F45" s="1">
        <v>1</v>
      </c>
      <c r="G45" s="1">
        <v>0</v>
      </c>
      <c r="H45" s="2">
        <v>41574</v>
      </c>
      <c r="I45" s="1">
        <v>52</v>
      </c>
      <c r="J45" s="1">
        <v>3</v>
      </c>
      <c r="K45" s="1">
        <v>3</v>
      </c>
      <c r="L45" s="1">
        <v>7</v>
      </c>
      <c r="M45" s="1">
        <v>0</v>
      </c>
      <c r="N45" s="1">
        <v>2</v>
      </c>
      <c r="O45" s="1">
        <v>11</v>
      </c>
      <c r="P45" s="1">
        <v>2</v>
      </c>
      <c r="Q45" s="1">
        <v>1</v>
      </c>
      <c r="R45" s="1">
        <v>0</v>
      </c>
      <c r="S45" s="1">
        <v>3</v>
      </c>
      <c r="T45" s="1">
        <v>6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3</v>
      </c>
      <c r="AB45" s="1">
        <v>11</v>
      </c>
      <c r="AC45" s="1">
        <v>0</v>
      </c>
    </row>
    <row r="46" spans="1:29" x14ac:dyDescent="0.3">
      <c r="A46" s="1">
        <v>9703</v>
      </c>
      <c r="B46" s="1">
        <v>1970</v>
      </c>
      <c r="C46" s="1" t="s">
        <v>36</v>
      </c>
      <c r="D46" s="1" t="s">
        <v>30</v>
      </c>
      <c r="E46" s="1">
        <v>38097</v>
      </c>
      <c r="F46" s="1">
        <v>1</v>
      </c>
      <c r="G46" s="1">
        <v>1</v>
      </c>
      <c r="H46" s="2">
        <v>41197</v>
      </c>
      <c r="I46" s="1">
        <v>70</v>
      </c>
      <c r="J46" s="1">
        <v>77</v>
      </c>
      <c r="K46" s="1">
        <v>2</v>
      </c>
      <c r="L46" s="1">
        <v>35</v>
      </c>
      <c r="M46" s="1">
        <v>0</v>
      </c>
      <c r="N46" s="1">
        <v>1</v>
      </c>
      <c r="O46" s="1">
        <v>69</v>
      </c>
      <c r="P46" s="1">
        <v>4</v>
      </c>
      <c r="Q46" s="1">
        <v>3</v>
      </c>
      <c r="R46" s="1">
        <v>2</v>
      </c>
      <c r="S46" s="1">
        <v>2</v>
      </c>
      <c r="T46" s="1">
        <v>7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3</v>
      </c>
      <c r="AB46" s="1">
        <v>11</v>
      </c>
      <c r="AC46" s="1">
        <v>1</v>
      </c>
    </row>
    <row r="47" spans="1:29" x14ac:dyDescent="0.3">
      <c r="A47" s="1">
        <v>9370</v>
      </c>
      <c r="B47" s="1">
        <v>1945</v>
      </c>
      <c r="C47" s="1" t="s">
        <v>36</v>
      </c>
      <c r="D47" s="1" t="s">
        <v>30</v>
      </c>
      <c r="E47" s="1">
        <v>65846</v>
      </c>
      <c r="F47" s="1">
        <v>0</v>
      </c>
      <c r="G47" s="1">
        <v>0</v>
      </c>
      <c r="H47" s="2">
        <v>41411</v>
      </c>
      <c r="I47" s="1">
        <v>68</v>
      </c>
      <c r="J47" s="1">
        <v>562</v>
      </c>
      <c r="K47" s="1">
        <v>81</v>
      </c>
      <c r="L47" s="1">
        <v>276</v>
      </c>
      <c r="M47" s="1">
        <v>80</v>
      </c>
      <c r="N47" s="1">
        <v>40</v>
      </c>
      <c r="O47" s="1">
        <v>81</v>
      </c>
      <c r="P47" s="1">
        <v>1</v>
      </c>
      <c r="Q47" s="1">
        <v>6</v>
      </c>
      <c r="R47" s="1">
        <v>3</v>
      </c>
      <c r="S47" s="1">
        <v>6</v>
      </c>
      <c r="T47" s="1">
        <v>4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3</v>
      </c>
      <c r="AB47" s="1">
        <v>11</v>
      </c>
      <c r="AC47" s="1">
        <v>0</v>
      </c>
    </row>
    <row r="48" spans="1:29" x14ac:dyDescent="0.3">
      <c r="A48" s="1">
        <v>10352</v>
      </c>
      <c r="B48" s="1">
        <v>1963</v>
      </c>
      <c r="C48" s="1" t="s">
        <v>31</v>
      </c>
      <c r="D48" s="1" t="s">
        <v>37</v>
      </c>
      <c r="E48" s="1">
        <v>34213</v>
      </c>
      <c r="F48" s="1">
        <v>1</v>
      </c>
      <c r="G48" s="1">
        <v>1</v>
      </c>
      <c r="H48" s="2">
        <v>41159</v>
      </c>
      <c r="I48" s="1">
        <v>2</v>
      </c>
      <c r="J48" s="1">
        <v>50</v>
      </c>
      <c r="K48" s="1">
        <v>4</v>
      </c>
      <c r="L48" s="1">
        <v>28</v>
      </c>
      <c r="M48" s="1">
        <v>6</v>
      </c>
      <c r="N48" s="1">
        <v>3</v>
      </c>
      <c r="O48" s="1">
        <v>26</v>
      </c>
      <c r="P48" s="1">
        <v>3</v>
      </c>
      <c r="Q48" s="1">
        <v>3</v>
      </c>
      <c r="R48" s="1">
        <v>1</v>
      </c>
      <c r="S48" s="1">
        <v>2</v>
      </c>
      <c r="T48" s="1">
        <v>9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3</v>
      </c>
      <c r="AB48" s="1">
        <v>11</v>
      </c>
      <c r="AC48" s="1">
        <v>1</v>
      </c>
    </row>
    <row r="49" spans="1:29" x14ac:dyDescent="0.3">
      <c r="A49" s="1">
        <v>7613</v>
      </c>
      <c r="B49" s="1">
        <v>1974</v>
      </c>
      <c r="C49" s="1" t="s">
        <v>29</v>
      </c>
      <c r="D49" s="1" t="s">
        <v>35</v>
      </c>
      <c r="E49" s="1">
        <v>49669</v>
      </c>
      <c r="F49" s="1">
        <v>1</v>
      </c>
      <c r="G49" s="1">
        <v>0</v>
      </c>
      <c r="H49" s="2">
        <v>41783</v>
      </c>
      <c r="I49" s="1">
        <v>97</v>
      </c>
      <c r="J49" s="1">
        <v>166</v>
      </c>
      <c r="K49" s="1">
        <v>5</v>
      </c>
      <c r="L49" s="1">
        <v>107</v>
      </c>
      <c r="M49" s="1">
        <v>11</v>
      </c>
      <c r="N49" s="1">
        <v>8</v>
      </c>
      <c r="O49" s="1">
        <v>29</v>
      </c>
      <c r="P49" s="1">
        <v>2</v>
      </c>
      <c r="Q49" s="1">
        <v>5</v>
      </c>
      <c r="R49" s="1">
        <v>1</v>
      </c>
      <c r="S49" s="1">
        <v>6</v>
      </c>
      <c r="T49" s="1">
        <v>6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3</v>
      </c>
      <c r="AB49" s="1">
        <v>11</v>
      </c>
      <c r="AC49" s="1">
        <v>0</v>
      </c>
    </row>
    <row r="50" spans="1:29" x14ac:dyDescent="0.3">
      <c r="A50" s="1">
        <v>10319</v>
      </c>
      <c r="B50" s="1">
        <v>1971</v>
      </c>
      <c r="C50" s="1" t="s">
        <v>31</v>
      </c>
      <c r="D50" s="1" t="s">
        <v>30</v>
      </c>
      <c r="E50" s="1">
        <v>66303</v>
      </c>
      <c r="F50" s="1">
        <v>0</v>
      </c>
      <c r="G50" s="1">
        <v>1</v>
      </c>
      <c r="H50" s="2">
        <v>41331</v>
      </c>
      <c r="I50" s="1">
        <v>56</v>
      </c>
      <c r="J50" s="1">
        <v>1090</v>
      </c>
      <c r="K50" s="1">
        <v>12</v>
      </c>
      <c r="L50" s="1">
        <v>96</v>
      </c>
      <c r="M50" s="1">
        <v>16</v>
      </c>
      <c r="N50" s="1">
        <v>12</v>
      </c>
      <c r="O50" s="1">
        <v>60</v>
      </c>
      <c r="P50" s="1">
        <v>4</v>
      </c>
      <c r="Q50" s="1">
        <v>3</v>
      </c>
      <c r="R50" s="1">
        <v>4</v>
      </c>
      <c r="S50" s="1">
        <v>11</v>
      </c>
      <c r="T50" s="1">
        <v>8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3</v>
      </c>
      <c r="AB50" s="1">
        <v>11</v>
      </c>
      <c r="AC50" s="1">
        <v>0</v>
      </c>
    </row>
    <row r="51" spans="1:29" x14ac:dyDescent="0.3">
      <c r="A51" s="1">
        <v>3518</v>
      </c>
      <c r="B51" s="1">
        <v>1983</v>
      </c>
      <c r="C51" s="1" t="s">
        <v>31</v>
      </c>
      <c r="D51" s="1" t="s">
        <v>30</v>
      </c>
      <c r="E51" s="1">
        <v>25271</v>
      </c>
      <c r="F51" s="1">
        <v>1</v>
      </c>
      <c r="G51" s="1">
        <v>0</v>
      </c>
      <c r="H51" s="2">
        <v>41248</v>
      </c>
      <c r="I51" s="1">
        <v>45</v>
      </c>
      <c r="J51" s="1">
        <v>10</v>
      </c>
      <c r="K51" s="1">
        <v>1</v>
      </c>
      <c r="L51" s="1">
        <v>18</v>
      </c>
      <c r="M51" s="1">
        <v>10</v>
      </c>
      <c r="N51" s="1">
        <v>4</v>
      </c>
      <c r="O51" s="1">
        <v>7</v>
      </c>
      <c r="P51" s="1">
        <v>1</v>
      </c>
      <c r="Q51" s="1">
        <v>1</v>
      </c>
      <c r="R51" s="1">
        <v>1</v>
      </c>
      <c r="S51" s="1">
        <v>2</v>
      </c>
      <c r="T51" s="1">
        <v>9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3</v>
      </c>
      <c r="AB51" s="1">
        <v>11</v>
      </c>
      <c r="AC51" s="1">
        <v>0</v>
      </c>
    </row>
    <row r="52" spans="1:29" x14ac:dyDescent="0.3">
      <c r="A52" s="1">
        <v>9530</v>
      </c>
      <c r="B52" s="1">
        <v>1988</v>
      </c>
      <c r="C52" s="1" t="s">
        <v>31</v>
      </c>
      <c r="D52" s="1" t="s">
        <v>30</v>
      </c>
      <c r="E52" s="1">
        <v>24645</v>
      </c>
      <c r="F52" s="1">
        <v>1</v>
      </c>
      <c r="G52" s="1">
        <v>0</v>
      </c>
      <c r="H52" s="2">
        <v>41214</v>
      </c>
      <c r="I52" s="1">
        <v>16</v>
      </c>
      <c r="J52" s="1">
        <v>5</v>
      </c>
      <c r="K52" s="1">
        <v>3</v>
      </c>
      <c r="L52" s="1">
        <v>4</v>
      </c>
      <c r="M52" s="1">
        <v>4</v>
      </c>
      <c r="N52" s="1">
        <v>1</v>
      </c>
      <c r="O52" s="1">
        <v>0</v>
      </c>
      <c r="P52" s="1">
        <v>1</v>
      </c>
      <c r="Q52" s="1">
        <v>1</v>
      </c>
      <c r="R52" s="1">
        <v>0</v>
      </c>
      <c r="S52" s="1">
        <v>2</v>
      </c>
      <c r="T52" s="1">
        <v>8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3</v>
      </c>
      <c r="AB52" s="1">
        <v>11</v>
      </c>
      <c r="AC52" s="1">
        <v>0</v>
      </c>
    </row>
    <row r="53" spans="1:29" x14ac:dyDescent="0.3">
      <c r="A53" s="1">
        <v>5049</v>
      </c>
      <c r="B53" s="1">
        <v>1974</v>
      </c>
      <c r="C53" s="1" t="s">
        <v>36</v>
      </c>
      <c r="D53" s="1" t="s">
        <v>35</v>
      </c>
      <c r="E53" s="1">
        <v>30351</v>
      </c>
      <c r="F53" s="1">
        <v>1</v>
      </c>
      <c r="G53" s="1">
        <v>0</v>
      </c>
      <c r="H53" s="2">
        <v>41431</v>
      </c>
      <c r="I53" s="1">
        <v>19</v>
      </c>
      <c r="J53" s="1">
        <v>14</v>
      </c>
      <c r="K53" s="1">
        <v>0</v>
      </c>
      <c r="L53" s="1">
        <v>24</v>
      </c>
      <c r="M53" s="1">
        <v>3</v>
      </c>
      <c r="N53" s="1">
        <v>3</v>
      </c>
      <c r="O53" s="1">
        <v>2</v>
      </c>
      <c r="P53" s="1">
        <v>1</v>
      </c>
      <c r="Q53" s="1">
        <v>3</v>
      </c>
      <c r="R53" s="1">
        <v>0</v>
      </c>
      <c r="S53" s="1">
        <v>2</v>
      </c>
      <c r="T53" s="1">
        <v>9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3</v>
      </c>
      <c r="AB53" s="1">
        <v>11</v>
      </c>
      <c r="AC53" s="1">
        <v>0</v>
      </c>
    </row>
    <row r="54" spans="1:29" x14ac:dyDescent="0.3">
      <c r="A54" s="1">
        <v>4483</v>
      </c>
      <c r="B54" s="1">
        <v>1993</v>
      </c>
      <c r="C54" s="1" t="s">
        <v>31</v>
      </c>
      <c r="D54" s="1" t="s">
        <v>33</v>
      </c>
      <c r="E54" s="1">
        <v>72354</v>
      </c>
      <c r="F54" s="1">
        <v>0</v>
      </c>
      <c r="G54" s="1">
        <v>0</v>
      </c>
      <c r="H54" s="2">
        <v>41381</v>
      </c>
      <c r="I54" s="1">
        <v>67</v>
      </c>
      <c r="J54" s="1">
        <v>315</v>
      </c>
      <c r="K54" s="1">
        <v>26</v>
      </c>
      <c r="L54" s="1">
        <v>473</v>
      </c>
      <c r="M54" s="1">
        <v>220</v>
      </c>
      <c r="N54" s="1">
        <v>12</v>
      </c>
      <c r="O54" s="1">
        <v>182</v>
      </c>
      <c r="P54" s="1">
        <v>1</v>
      </c>
      <c r="Q54" s="1">
        <v>2</v>
      </c>
      <c r="R54" s="1">
        <v>10</v>
      </c>
      <c r="S54" s="1">
        <v>6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3</v>
      </c>
      <c r="AB54" s="1">
        <v>11</v>
      </c>
      <c r="AC54" s="1">
        <v>0</v>
      </c>
    </row>
    <row r="55" spans="1:29" x14ac:dyDescent="0.3">
      <c r="A55" s="1">
        <v>6437</v>
      </c>
      <c r="B55" s="1">
        <v>1985</v>
      </c>
      <c r="C55" s="1" t="s">
        <v>29</v>
      </c>
      <c r="D55" s="1" t="s">
        <v>33</v>
      </c>
      <c r="E55" s="1">
        <v>41473</v>
      </c>
      <c r="F55" s="1">
        <v>1</v>
      </c>
      <c r="G55" s="1">
        <v>0</v>
      </c>
      <c r="H55" s="2">
        <v>41444</v>
      </c>
      <c r="I55" s="1">
        <v>80</v>
      </c>
      <c r="J55" s="1">
        <v>21</v>
      </c>
      <c r="K55" s="1">
        <v>8</v>
      </c>
      <c r="L55" s="1">
        <v>20</v>
      </c>
      <c r="M55" s="1">
        <v>15</v>
      </c>
      <c r="N55" s="1">
        <v>3</v>
      </c>
      <c r="O55" s="1">
        <v>9</v>
      </c>
      <c r="P55" s="1">
        <v>1</v>
      </c>
      <c r="Q55" s="1">
        <v>2</v>
      </c>
      <c r="R55" s="1">
        <v>0</v>
      </c>
      <c r="S55" s="1">
        <v>3</v>
      </c>
      <c r="T55" s="1">
        <v>7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3</v>
      </c>
      <c r="AB55" s="1">
        <v>11</v>
      </c>
      <c r="AC55" s="1">
        <v>0</v>
      </c>
    </row>
    <row r="56" spans="1:29" x14ac:dyDescent="0.3">
      <c r="A56" s="1">
        <v>10870</v>
      </c>
      <c r="B56" s="1">
        <v>1967</v>
      </c>
      <c r="C56" s="1" t="s">
        <v>31</v>
      </c>
      <c r="D56" s="1" t="s">
        <v>30</v>
      </c>
      <c r="E56" s="1">
        <v>61223</v>
      </c>
      <c r="F56" s="1">
        <v>0</v>
      </c>
      <c r="G56" s="1">
        <v>1</v>
      </c>
      <c r="H56" s="2">
        <v>41438</v>
      </c>
      <c r="I56" s="1">
        <v>46</v>
      </c>
      <c r="J56" s="1">
        <v>709</v>
      </c>
      <c r="K56" s="1">
        <v>43</v>
      </c>
      <c r="L56" s="1">
        <v>182</v>
      </c>
      <c r="M56" s="1">
        <v>42</v>
      </c>
      <c r="N56" s="1">
        <v>118</v>
      </c>
      <c r="O56" s="1">
        <v>247</v>
      </c>
      <c r="P56" s="1">
        <v>2</v>
      </c>
      <c r="Q56" s="1">
        <v>9</v>
      </c>
      <c r="R56" s="1">
        <v>3</v>
      </c>
      <c r="S56" s="1">
        <v>4</v>
      </c>
      <c r="T56" s="1">
        <v>5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3</v>
      </c>
      <c r="AB56" s="1">
        <v>11</v>
      </c>
      <c r="AC56" s="1">
        <v>0</v>
      </c>
    </row>
    <row r="57" spans="1:29" x14ac:dyDescent="0.3">
      <c r="A57" s="1">
        <v>5831</v>
      </c>
      <c r="B57" s="1">
        <v>1967</v>
      </c>
      <c r="C57" s="1" t="s">
        <v>31</v>
      </c>
      <c r="D57" s="1" t="s">
        <v>30</v>
      </c>
      <c r="E57" s="1">
        <v>77870</v>
      </c>
      <c r="F57" s="1">
        <v>0</v>
      </c>
      <c r="G57" s="1">
        <v>1</v>
      </c>
      <c r="H57" s="2">
        <v>41143</v>
      </c>
      <c r="I57" s="1">
        <v>93</v>
      </c>
      <c r="J57" s="1">
        <v>1017</v>
      </c>
      <c r="K57" s="1">
        <v>50</v>
      </c>
      <c r="L57" s="1">
        <v>500</v>
      </c>
      <c r="M57" s="1">
        <v>65</v>
      </c>
      <c r="N57" s="1">
        <v>50</v>
      </c>
      <c r="O57" s="1">
        <v>133</v>
      </c>
      <c r="P57" s="1">
        <v>3</v>
      </c>
      <c r="Q57" s="1">
        <v>5</v>
      </c>
      <c r="R57" s="1">
        <v>5</v>
      </c>
      <c r="S57" s="1">
        <v>5</v>
      </c>
      <c r="T57" s="1">
        <v>8</v>
      </c>
      <c r="U57" s="1">
        <v>0</v>
      </c>
      <c r="V57" s="1">
        <v>1</v>
      </c>
      <c r="W57" s="1">
        <v>0</v>
      </c>
      <c r="X57" s="1">
        <v>1</v>
      </c>
      <c r="Y57" s="1">
        <v>0</v>
      </c>
      <c r="Z57" s="1">
        <v>0</v>
      </c>
      <c r="AA57" s="1">
        <v>3</v>
      </c>
      <c r="AB57" s="1">
        <v>11</v>
      </c>
      <c r="AC57" s="1">
        <v>1</v>
      </c>
    </row>
    <row r="58" spans="1:29" x14ac:dyDescent="0.3">
      <c r="A58" s="1">
        <v>2004</v>
      </c>
      <c r="B58" s="1">
        <v>1969</v>
      </c>
      <c r="C58" s="1" t="s">
        <v>31</v>
      </c>
      <c r="D58" s="1" t="s">
        <v>33</v>
      </c>
      <c r="E58" s="1">
        <v>72679</v>
      </c>
      <c r="F58" s="1">
        <v>0</v>
      </c>
      <c r="G58" s="1">
        <v>1</v>
      </c>
      <c r="H58" s="2">
        <v>41535</v>
      </c>
      <c r="I58" s="1">
        <v>65</v>
      </c>
      <c r="J58" s="1">
        <v>619</v>
      </c>
      <c r="K58" s="1">
        <v>54</v>
      </c>
      <c r="L58" s="1">
        <v>260</v>
      </c>
      <c r="M58" s="1">
        <v>127</v>
      </c>
      <c r="N58" s="1">
        <v>54</v>
      </c>
      <c r="O58" s="1">
        <v>54</v>
      </c>
      <c r="P58" s="1">
        <v>1</v>
      </c>
      <c r="Q58" s="1">
        <v>4</v>
      </c>
      <c r="R58" s="1">
        <v>7</v>
      </c>
      <c r="S58" s="1">
        <v>5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3</v>
      </c>
      <c r="AB58" s="1">
        <v>11</v>
      </c>
      <c r="AC58" s="1">
        <v>0</v>
      </c>
    </row>
    <row r="59" spans="1:29" x14ac:dyDescent="0.3">
      <c r="A59" s="1">
        <v>4093</v>
      </c>
      <c r="B59" s="1">
        <v>1975</v>
      </c>
      <c r="C59" s="1" t="s">
        <v>34</v>
      </c>
      <c r="D59" s="1" t="s">
        <v>35</v>
      </c>
      <c r="E59" s="1">
        <v>53253</v>
      </c>
      <c r="F59" s="1">
        <v>1</v>
      </c>
      <c r="G59" s="1">
        <v>1</v>
      </c>
      <c r="H59" s="2">
        <v>41316</v>
      </c>
      <c r="I59" s="1">
        <v>61</v>
      </c>
      <c r="J59" s="1">
        <v>216</v>
      </c>
      <c r="K59" s="1">
        <v>9</v>
      </c>
      <c r="L59" s="1">
        <v>57</v>
      </c>
      <c r="M59" s="1">
        <v>20</v>
      </c>
      <c r="N59" s="1">
        <v>9</v>
      </c>
      <c r="O59" s="1">
        <v>125</v>
      </c>
      <c r="P59" s="1">
        <v>7</v>
      </c>
      <c r="Q59" s="1">
        <v>4</v>
      </c>
      <c r="R59" s="1">
        <v>3</v>
      </c>
      <c r="S59" s="1">
        <v>5</v>
      </c>
      <c r="T59" s="1">
        <v>5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3</v>
      </c>
      <c r="AB59" s="1">
        <v>11</v>
      </c>
      <c r="AC59" s="1">
        <v>0</v>
      </c>
    </row>
    <row r="60" spans="1:29" x14ac:dyDescent="0.3">
      <c r="A60" s="1">
        <v>8397</v>
      </c>
      <c r="B60" s="1">
        <v>1951</v>
      </c>
      <c r="C60" s="1" t="s">
        <v>31</v>
      </c>
      <c r="D60" s="1" t="s">
        <v>30</v>
      </c>
      <c r="E60" s="1">
        <v>44689</v>
      </c>
      <c r="F60" s="1">
        <v>1</v>
      </c>
      <c r="G60" s="1">
        <v>1</v>
      </c>
      <c r="H60" s="2">
        <v>41649</v>
      </c>
      <c r="I60" s="1">
        <v>82</v>
      </c>
      <c r="J60" s="1">
        <v>18</v>
      </c>
      <c r="K60" s="1">
        <v>0</v>
      </c>
      <c r="L60" s="1">
        <v>5</v>
      </c>
      <c r="M60" s="1">
        <v>0</v>
      </c>
      <c r="N60" s="1">
        <v>0</v>
      </c>
      <c r="O60" s="1">
        <v>11</v>
      </c>
      <c r="P60" s="1">
        <v>2</v>
      </c>
      <c r="Q60" s="1">
        <v>1</v>
      </c>
      <c r="R60" s="1">
        <v>1</v>
      </c>
      <c r="S60" s="1">
        <v>2</v>
      </c>
      <c r="T60" s="1">
        <v>7</v>
      </c>
      <c r="U60" s="1">
        <v>1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3</v>
      </c>
      <c r="AB60" s="1">
        <v>11</v>
      </c>
      <c r="AC60" s="1">
        <v>0</v>
      </c>
    </row>
    <row r="61" spans="1:29" x14ac:dyDescent="0.3">
      <c r="A61" s="1">
        <v>55</v>
      </c>
      <c r="B61" s="1">
        <v>1963</v>
      </c>
      <c r="C61" s="1" t="s">
        <v>31</v>
      </c>
      <c r="D61" s="1" t="s">
        <v>35</v>
      </c>
      <c r="E61" s="1">
        <v>56253</v>
      </c>
      <c r="F61" s="1">
        <v>0</v>
      </c>
      <c r="G61" s="1">
        <v>1</v>
      </c>
      <c r="H61" s="2">
        <v>41250</v>
      </c>
      <c r="I61" s="1">
        <v>83</v>
      </c>
      <c r="J61" s="1">
        <v>509</v>
      </c>
      <c r="K61" s="1">
        <v>0</v>
      </c>
      <c r="L61" s="1">
        <v>65</v>
      </c>
      <c r="M61" s="1">
        <v>7</v>
      </c>
      <c r="N61" s="1">
        <v>11</v>
      </c>
      <c r="O61" s="1">
        <v>5</v>
      </c>
      <c r="P61" s="1">
        <v>4</v>
      </c>
      <c r="Q61" s="1">
        <v>7</v>
      </c>
      <c r="R61" s="1">
        <v>2</v>
      </c>
      <c r="S61" s="1">
        <v>9</v>
      </c>
      <c r="T61" s="1">
        <v>6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3</v>
      </c>
      <c r="AB61" s="1">
        <v>11</v>
      </c>
      <c r="AC61" s="1">
        <v>0</v>
      </c>
    </row>
    <row r="62" spans="1:29" x14ac:dyDescent="0.3">
      <c r="A62" s="1">
        <v>492</v>
      </c>
      <c r="B62" s="1">
        <v>1973</v>
      </c>
      <c r="C62" s="1" t="s">
        <v>36</v>
      </c>
      <c r="D62" s="1" t="s">
        <v>38</v>
      </c>
      <c r="E62" s="1">
        <v>48432</v>
      </c>
      <c r="F62" s="1">
        <v>0</v>
      </c>
      <c r="G62" s="1">
        <v>1</v>
      </c>
      <c r="H62" s="2">
        <v>41200</v>
      </c>
      <c r="I62" s="1">
        <v>3</v>
      </c>
      <c r="J62" s="1">
        <v>322</v>
      </c>
      <c r="K62" s="1">
        <v>3</v>
      </c>
      <c r="L62" s="1">
        <v>50</v>
      </c>
      <c r="M62" s="1">
        <v>4</v>
      </c>
      <c r="N62" s="1">
        <v>3</v>
      </c>
      <c r="O62" s="1">
        <v>42</v>
      </c>
      <c r="P62" s="1">
        <v>5</v>
      </c>
      <c r="Q62" s="1">
        <v>7</v>
      </c>
      <c r="R62" s="1">
        <v>1</v>
      </c>
      <c r="S62" s="1">
        <v>6</v>
      </c>
      <c r="T62" s="1">
        <v>8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3</v>
      </c>
      <c r="AB62" s="1">
        <v>11</v>
      </c>
      <c r="AC62" s="1">
        <v>0</v>
      </c>
    </row>
    <row r="63" spans="1:29" x14ac:dyDescent="0.3">
      <c r="A63" s="1">
        <v>11133</v>
      </c>
      <c r="B63" s="1">
        <v>1973</v>
      </c>
      <c r="C63" s="1" t="s">
        <v>36</v>
      </c>
      <c r="D63" s="1" t="s">
        <v>38</v>
      </c>
      <c r="E63" s="1">
        <v>48432</v>
      </c>
      <c r="F63" s="1">
        <v>0</v>
      </c>
      <c r="G63" s="1">
        <v>1</v>
      </c>
      <c r="H63" s="2">
        <v>41200</v>
      </c>
      <c r="I63" s="1">
        <v>3</v>
      </c>
      <c r="J63" s="1">
        <v>322</v>
      </c>
      <c r="K63" s="1">
        <v>3</v>
      </c>
      <c r="L63" s="1">
        <v>50</v>
      </c>
      <c r="M63" s="1">
        <v>4</v>
      </c>
      <c r="N63" s="1">
        <v>3</v>
      </c>
      <c r="O63" s="1">
        <v>42</v>
      </c>
      <c r="P63" s="1">
        <v>5</v>
      </c>
      <c r="Q63" s="1">
        <v>7</v>
      </c>
      <c r="R63" s="1">
        <v>1</v>
      </c>
      <c r="S63" s="1">
        <v>6</v>
      </c>
      <c r="T63" s="1">
        <v>8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3</v>
      </c>
      <c r="AB63" s="1">
        <v>11</v>
      </c>
      <c r="AC63" s="1">
        <v>1</v>
      </c>
    </row>
    <row r="64" spans="1:29" x14ac:dyDescent="0.3">
      <c r="A64" s="1">
        <v>5304</v>
      </c>
      <c r="B64" s="1">
        <v>1974</v>
      </c>
      <c r="C64" s="1" t="s">
        <v>36</v>
      </c>
      <c r="D64" s="1" t="s">
        <v>33</v>
      </c>
      <c r="E64" s="1">
        <v>30899</v>
      </c>
      <c r="F64" s="1">
        <v>1</v>
      </c>
      <c r="G64" s="1">
        <v>0</v>
      </c>
      <c r="H64" s="2">
        <v>41195</v>
      </c>
      <c r="I64" s="1">
        <v>35</v>
      </c>
      <c r="J64" s="1">
        <v>24</v>
      </c>
      <c r="K64" s="1">
        <v>0</v>
      </c>
      <c r="L64" s="1">
        <v>8</v>
      </c>
      <c r="M64" s="1">
        <v>0</v>
      </c>
      <c r="N64" s="1">
        <v>0</v>
      </c>
      <c r="O64" s="1">
        <v>1</v>
      </c>
      <c r="P64" s="1">
        <v>2</v>
      </c>
      <c r="Q64" s="1">
        <v>1</v>
      </c>
      <c r="R64" s="1">
        <v>0</v>
      </c>
      <c r="S64" s="1">
        <v>3</v>
      </c>
      <c r="T64" s="1">
        <v>6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3</v>
      </c>
      <c r="AB64" s="1">
        <v>11</v>
      </c>
      <c r="AC64" s="1">
        <v>0</v>
      </c>
    </row>
    <row r="65" spans="1:29" x14ac:dyDescent="0.3">
      <c r="A65" s="1">
        <v>6349</v>
      </c>
      <c r="B65" s="1">
        <v>1987</v>
      </c>
      <c r="C65" s="1" t="s">
        <v>34</v>
      </c>
      <c r="D65" s="1" t="s">
        <v>32</v>
      </c>
      <c r="E65" s="1">
        <v>61787</v>
      </c>
      <c r="F65" s="1">
        <v>0</v>
      </c>
      <c r="G65" s="1">
        <v>0</v>
      </c>
      <c r="H65" s="2">
        <v>41461</v>
      </c>
      <c r="I65" s="1">
        <v>71</v>
      </c>
      <c r="J65" s="1">
        <v>621</v>
      </c>
      <c r="K65" s="1">
        <v>73</v>
      </c>
      <c r="L65" s="1">
        <v>414</v>
      </c>
      <c r="M65" s="1">
        <v>78</v>
      </c>
      <c r="N65" s="1">
        <v>48</v>
      </c>
      <c r="O65" s="1">
        <v>85</v>
      </c>
      <c r="P65" s="1">
        <v>1</v>
      </c>
      <c r="Q65" s="1">
        <v>8</v>
      </c>
      <c r="R65" s="1">
        <v>4</v>
      </c>
      <c r="S65" s="1">
        <v>6</v>
      </c>
      <c r="T65" s="1">
        <v>5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3</v>
      </c>
      <c r="AB65" s="1">
        <v>11</v>
      </c>
      <c r="AC65" s="1">
        <v>0</v>
      </c>
    </row>
    <row r="66" spans="1:29" x14ac:dyDescent="0.3">
      <c r="A66" s="1">
        <v>6421</v>
      </c>
      <c r="B66" s="1">
        <v>1961</v>
      </c>
      <c r="C66" s="1" t="s">
        <v>31</v>
      </c>
      <c r="D66" s="1" t="s">
        <v>35</v>
      </c>
      <c r="E66" s="1">
        <v>88347</v>
      </c>
      <c r="F66" s="1">
        <v>0</v>
      </c>
      <c r="G66" s="1">
        <v>0</v>
      </c>
      <c r="H66" s="2">
        <v>41458</v>
      </c>
      <c r="I66" s="1">
        <v>32</v>
      </c>
      <c r="J66" s="1">
        <v>1050</v>
      </c>
      <c r="K66" s="1">
        <v>178</v>
      </c>
      <c r="L66" s="1">
        <v>555</v>
      </c>
      <c r="M66" s="1">
        <v>77</v>
      </c>
      <c r="N66" s="1">
        <v>138</v>
      </c>
      <c r="O66" s="1">
        <v>118</v>
      </c>
      <c r="P66" s="1">
        <v>1</v>
      </c>
      <c r="Q66" s="1">
        <v>4</v>
      </c>
      <c r="R66" s="1">
        <v>7</v>
      </c>
      <c r="S66" s="1">
        <v>9</v>
      </c>
      <c r="T66" s="1">
        <v>1</v>
      </c>
      <c r="U66" s="1">
        <v>0</v>
      </c>
      <c r="V66" s="1">
        <v>0</v>
      </c>
      <c r="W66" s="1">
        <v>0</v>
      </c>
      <c r="X66" s="1">
        <v>1</v>
      </c>
      <c r="Y66" s="1">
        <v>0</v>
      </c>
      <c r="Z66" s="1">
        <v>0</v>
      </c>
      <c r="AA66" s="1">
        <v>3</v>
      </c>
      <c r="AB66" s="1">
        <v>11</v>
      </c>
      <c r="AC66" s="1">
        <v>0</v>
      </c>
    </row>
    <row r="67" spans="1:29" x14ac:dyDescent="0.3">
      <c r="A67" s="1">
        <v>3766</v>
      </c>
      <c r="B67" s="1">
        <v>1959</v>
      </c>
      <c r="C67" s="1" t="s">
        <v>34</v>
      </c>
      <c r="D67" s="1" t="s">
        <v>37</v>
      </c>
      <c r="E67" s="1">
        <v>33051</v>
      </c>
      <c r="F67" s="1">
        <v>0</v>
      </c>
      <c r="G67" s="1">
        <v>0</v>
      </c>
      <c r="H67" s="2">
        <v>41137</v>
      </c>
      <c r="I67" s="1">
        <v>15</v>
      </c>
      <c r="J67" s="1">
        <v>100</v>
      </c>
      <c r="K67" s="1">
        <v>71</v>
      </c>
      <c r="L67" s="1">
        <v>243</v>
      </c>
      <c r="M67" s="1">
        <v>108</v>
      </c>
      <c r="N67" s="1">
        <v>94</v>
      </c>
      <c r="O67" s="1">
        <v>219</v>
      </c>
      <c r="P67" s="1">
        <v>3</v>
      </c>
      <c r="Q67" s="1">
        <v>9</v>
      </c>
      <c r="R67" s="1">
        <v>1</v>
      </c>
      <c r="S67" s="1">
        <v>8</v>
      </c>
      <c r="T67" s="1">
        <v>9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3</v>
      </c>
      <c r="AB67" s="1">
        <v>11</v>
      </c>
      <c r="AC67" s="1">
        <v>1</v>
      </c>
    </row>
    <row r="68" spans="1:29" x14ac:dyDescent="0.3">
      <c r="A68" s="1">
        <v>10641</v>
      </c>
      <c r="B68" s="1">
        <v>1978</v>
      </c>
      <c r="C68" s="1" t="s">
        <v>31</v>
      </c>
      <c r="D68" s="1" t="s">
        <v>33</v>
      </c>
      <c r="E68" s="1">
        <v>7500</v>
      </c>
      <c r="F68" s="1">
        <v>1</v>
      </c>
      <c r="G68" s="1">
        <v>1</v>
      </c>
      <c r="H68" s="2">
        <v>41270</v>
      </c>
      <c r="I68" s="1">
        <v>5</v>
      </c>
      <c r="J68" s="1">
        <v>6</v>
      </c>
      <c r="K68" s="1">
        <v>5</v>
      </c>
      <c r="L68" s="1">
        <v>4</v>
      </c>
      <c r="M68" s="1">
        <v>13</v>
      </c>
      <c r="N68" s="1">
        <v>4</v>
      </c>
      <c r="O68" s="1">
        <v>25</v>
      </c>
      <c r="P68" s="1">
        <v>4</v>
      </c>
      <c r="Q68" s="1">
        <v>2</v>
      </c>
      <c r="R68" s="1">
        <v>1</v>
      </c>
      <c r="S68" s="1">
        <v>3</v>
      </c>
      <c r="T68" s="1">
        <v>6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3</v>
      </c>
      <c r="AB68" s="1">
        <v>11</v>
      </c>
      <c r="AC68" s="1">
        <v>0</v>
      </c>
    </row>
    <row r="69" spans="1:29" x14ac:dyDescent="0.3">
      <c r="A69" s="1">
        <v>8334</v>
      </c>
      <c r="B69" s="1">
        <v>1971</v>
      </c>
      <c r="C69" s="1" t="s">
        <v>34</v>
      </c>
      <c r="D69" s="1" t="s">
        <v>33</v>
      </c>
      <c r="E69" s="1">
        <v>33316</v>
      </c>
      <c r="F69" s="1">
        <v>1</v>
      </c>
      <c r="G69" s="1">
        <v>1</v>
      </c>
      <c r="H69" s="2">
        <v>41551</v>
      </c>
      <c r="I69" s="1">
        <v>34</v>
      </c>
      <c r="J69" s="1">
        <v>79</v>
      </c>
      <c r="K69" s="1">
        <v>1</v>
      </c>
      <c r="L69" s="1">
        <v>31</v>
      </c>
      <c r="M69" s="1">
        <v>4</v>
      </c>
      <c r="N69" s="1">
        <v>4</v>
      </c>
      <c r="O69" s="1">
        <v>12</v>
      </c>
      <c r="P69" s="1">
        <v>3</v>
      </c>
      <c r="Q69" s="1">
        <v>2</v>
      </c>
      <c r="R69" s="1">
        <v>1</v>
      </c>
      <c r="S69" s="1">
        <v>4</v>
      </c>
      <c r="T69" s="1">
        <v>6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3</v>
      </c>
      <c r="AB69" s="1">
        <v>11</v>
      </c>
      <c r="AC69" s="1">
        <v>0</v>
      </c>
    </row>
    <row r="70" spans="1:29" x14ac:dyDescent="0.3">
      <c r="A70" s="1">
        <v>1920</v>
      </c>
      <c r="B70" s="1">
        <v>1972</v>
      </c>
      <c r="C70" s="1" t="s">
        <v>31</v>
      </c>
      <c r="D70" s="1" t="s">
        <v>30</v>
      </c>
      <c r="E70" s="1">
        <v>40321</v>
      </c>
      <c r="F70" s="1">
        <v>1</v>
      </c>
      <c r="G70" s="1">
        <v>1</v>
      </c>
      <c r="H70" s="2">
        <v>41484</v>
      </c>
      <c r="I70" s="1">
        <v>59</v>
      </c>
      <c r="J70" s="1">
        <v>44</v>
      </c>
      <c r="K70" s="1">
        <v>4</v>
      </c>
      <c r="L70" s="1">
        <v>21</v>
      </c>
      <c r="M70" s="1">
        <v>6</v>
      </c>
      <c r="N70" s="1">
        <v>0</v>
      </c>
      <c r="O70" s="1">
        <v>27</v>
      </c>
      <c r="P70" s="1">
        <v>2</v>
      </c>
      <c r="Q70" s="1">
        <v>3</v>
      </c>
      <c r="R70" s="1">
        <v>0</v>
      </c>
      <c r="S70" s="1">
        <v>3</v>
      </c>
      <c r="T70" s="1">
        <v>7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3</v>
      </c>
      <c r="AB70" s="1">
        <v>11</v>
      </c>
      <c r="AC70" s="1">
        <v>0</v>
      </c>
    </row>
    <row r="71" spans="1:29" x14ac:dyDescent="0.3">
      <c r="A71" s="1">
        <v>5314</v>
      </c>
      <c r="B71" s="1">
        <v>1951</v>
      </c>
      <c r="C71" s="1" t="s">
        <v>31</v>
      </c>
      <c r="D71" s="1" t="s">
        <v>35</v>
      </c>
      <c r="E71" s="1">
        <v>40689</v>
      </c>
      <c r="F71" s="1">
        <v>0</v>
      </c>
      <c r="G71" s="1">
        <v>1</v>
      </c>
      <c r="H71" s="2">
        <v>41351</v>
      </c>
      <c r="I71" s="1">
        <v>69</v>
      </c>
      <c r="J71" s="1">
        <v>270</v>
      </c>
      <c r="K71" s="1">
        <v>3</v>
      </c>
      <c r="L71" s="1">
        <v>27</v>
      </c>
      <c r="M71" s="1">
        <v>39</v>
      </c>
      <c r="N71" s="1">
        <v>6</v>
      </c>
      <c r="O71" s="1">
        <v>99</v>
      </c>
      <c r="P71" s="1">
        <v>7</v>
      </c>
      <c r="Q71" s="1">
        <v>7</v>
      </c>
      <c r="R71" s="1">
        <v>1</v>
      </c>
      <c r="S71" s="1">
        <v>5</v>
      </c>
      <c r="T71" s="1">
        <v>8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3</v>
      </c>
      <c r="AB71" s="1">
        <v>11</v>
      </c>
      <c r="AC71" s="1">
        <v>0</v>
      </c>
    </row>
    <row r="72" spans="1:29" x14ac:dyDescent="0.3">
      <c r="A72" s="1">
        <v>10556</v>
      </c>
      <c r="B72" s="1">
        <v>1959</v>
      </c>
      <c r="C72" s="1" t="s">
        <v>31</v>
      </c>
      <c r="D72" s="1" t="s">
        <v>30</v>
      </c>
      <c r="E72" s="1">
        <v>54984</v>
      </c>
      <c r="F72" s="1">
        <v>0</v>
      </c>
      <c r="G72" s="1">
        <v>1</v>
      </c>
      <c r="H72" s="2">
        <v>41783</v>
      </c>
      <c r="I72" s="1">
        <v>51</v>
      </c>
      <c r="J72" s="1">
        <v>173</v>
      </c>
      <c r="K72" s="1">
        <v>13</v>
      </c>
      <c r="L72" s="1">
        <v>131</v>
      </c>
      <c r="M72" s="1">
        <v>32</v>
      </c>
      <c r="N72" s="1">
        <v>3</v>
      </c>
      <c r="O72" s="1">
        <v>6</v>
      </c>
      <c r="P72" s="1">
        <v>4</v>
      </c>
      <c r="Q72" s="1">
        <v>6</v>
      </c>
      <c r="R72" s="1">
        <v>1</v>
      </c>
      <c r="S72" s="1">
        <v>6</v>
      </c>
      <c r="T72" s="1">
        <v>7</v>
      </c>
      <c r="U72" s="1">
        <v>0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3</v>
      </c>
      <c r="AB72" s="1">
        <v>11</v>
      </c>
      <c r="AC72" s="1">
        <v>0</v>
      </c>
    </row>
    <row r="73" spans="1:29" x14ac:dyDescent="0.3">
      <c r="A73" s="1">
        <v>2245</v>
      </c>
      <c r="B73" s="1">
        <v>1969</v>
      </c>
      <c r="C73" s="1" t="s">
        <v>34</v>
      </c>
      <c r="D73" s="1" t="s">
        <v>30</v>
      </c>
      <c r="E73" s="1">
        <v>43641</v>
      </c>
      <c r="F73" s="1">
        <v>1</v>
      </c>
      <c r="G73" s="1">
        <v>1</v>
      </c>
      <c r="H73" s="2">
        <v>41386</v>
      </c>
      <c r="I73" s="1">
        <v>50</v>
      </c>
      <c r="J73" s="1">
        <v>57</v>
      </c>
      <c r="K73" s="1">
        <v>2</v>
      </c>
      <c r="L73" s="1">
        <v>51</v>
      </c>
      <c r="M73" s="1">
        <v>4</v>
      </c>
      <c r="N73" s="1">
        <v>2</v>
      </c>
      <c r="O73" s="1">
        <v>23</v>
      </c>
      <c r="P73" s="1">
        <v>3</v>
      </c>
      <c r="Q73" s="1">
        <v>2</v>
      </c>
      <c r="R73" s="1">
        <v>1</v>
      </c>
      <c r="S73" s="1">
        <v>4</v>
      </c>
      <c r="T73" s="1">
        <v>6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3</v>
      </c>
      <c r="AB73" s="1">
        <v>11</v>
      </c>
      <c r="AC73" s="1">
        <v>0</v>
      </c>
    </row>
    <row r="74" spans="1:29" x14ac:dyDescent="0.3">
      <c r="A74" s="1">
        <v>1232</v>
      </c>
      <c r="B74" s="1">
        <v>1982</v>
      </c>
      <c r="C74" s="1" t="s">
        <v>36</v>
      </c>
      <c r="D74" s="1" t="s">
        <v>35</v>
      </c>
      <c r="E74" s="1">
        <v>70038</v>
      </c>
      <c r="F74" s="1">
        <v>0</v>
      </c>
      <c r="G74" s="1">
        <v>0</v>
      </c>
      <c r="H74" s="2">
        <v>41572</v>
      </c>
      <c r="I74" s="1">
        <v>54</v>
      </c>
      <c r="J74" s="1">
        <v>587</v>
      </c>
      <c r="K74" s="1">
        <v>54</v>
      </c>
      <c r="L74" s="1">
        <v>348</v>
      </c>
      <c r="M74" s="1">
        <v>71</v>
      </c>
      <c r="N74" s="1">
        <v>54</v>
      </c>
      <c r="O74" s="1">
        <v>130</v>
      </c>
      <c r="P74" s="1">
        <v>1</v>
      </c>
      <c r="Q74" s="1">
        <v>4</v>
      </c>
      <c r="R74" s="1">
        <v>4</v>
      </c>
      <c r="S74" s="1">
        <v>8</v>
      </c>
      <c r="T74" s="1">
        <v>2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3</v>
      </c>
      <c r="AB74" s="1">
        <v>11</v>
      </c>
      <c r="AC74" s="1">
        <v>0</v>
      </c>
    </row>
    <row r="75" spans="1:29" x14ac:dyDescent="0.3">
      <c r="A75" s="1">
        <v>6982</v>
      </c>
      <c r="B75" s="1">
        <v>1976</v>
      </c>
      <c r="C75" s="1" t="s">
        <v>31</v>
      </c>
      <c r="D75" s="1" t="s">
        <v>30</v>
      </c>
      <c r="E75" s="1">
        <v>74068</v>
      </c>
      <c r="F75" s="1">
        <v>0</v>
      </c>
      <c r="G75" s="1">
        <v>0</v>
      </c>
      <c r="H75" s="2">
        <v>41352</v>
      </c>
      <c r="I75" s="1">
        <v>14</v>
      </c>
      <c r="J75" s="1">
        <v>783</v>
      </c>
      <c r="K75" s="1">
        <v>30</v>
      </c>
      <c r="L75" s="1">
        <v>537</v>
      </c>
      <c r="M75" s="1">
        <v>140</v>
      </c>
      <c r="N75" s="1">
        <v>76</v>
      </c>
      <c r="O75" s="1">
        <v>15</v>
      </c>
      <c r="P75" s="1">
        <v>1</v>
      </c>
      <c r="Q75" s="1">
        <v>4</v>
      </c>
      <c r="R75" s="1">
        <v>10</v>
      </c>
      <c r="S75" s="1">
        <v>9</v>
      </c>
      <c r="T75" s="1">
        <v>2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3</v>
      </c>
      <c r="AB75" s="1">
        <v>11</v>
      </c>
      <c r="AC75" s="1">
        <v>0</v>
      </c>
    </row>
    <row r="76" spans="1:29" x14ac:dyDescent="0.3">
      <c r="A76" s="1">
        <v>9463</v>
      </c>
      <c r="B76" s="1">
        <v>1959</v>
      </c>
      <c r="C76" s="1" t="s">
        <v>31</v>
      </c>
      <c r="D76" s="1" t="s">
        <v>35</v>
      </c>
      <c r="E76" s="1">
        <v>71706</v>
      </c>
      <c r="F76" s="1">
        <v>0</v>
      </c>
      <c r="G76" s="1">
        <v>1</v>
      </c>
      <c r="H76" s="2">
        <v>41226</v>
      </c>
      <c r="I76" s="1">
        <v>16</v>
      </c>
      <c r="J76" s="1">
        <v>931</v>
      </c>
      <c r="K76" s="1">
        <v>56</v>
      </c>
      <c r="L76" s="1">
        <v>253</v>
      </c>
      <c r="M76" s="1">
        <v>91</v>
      </c>
      <c r="N76" s="1">
        <v>98</v>
      </c>
      <c r="O76" s="1">
        <v>14</v>
      </c>
      <c r="P76" s="1">
        <v>4</v>
      </c>
      <c r="Q76" s="1">
        <v>9</v>
      </c>
      <c r="R76" s="1">
        <v>5</v>
      </c>
      <c r="S76" s="1">
        <v>7</v>
      </c>
      <c r="T76" s="1">
        <v>5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3</v>
      </c>
      <c r="AB76" s="1">
        <v>11</v>
      </c>
      <c r="AC76" s="1">
        <v>0</v>
      </c>
    </row>
    <row r="77" spans="1:29" x14ac:dyDescent="0.3">
      <c r="A77" s="1">
        <v>8800</v>
      </c>
      <c r="B77" s="1">
        <v>1943</v>
      </c>
      <c r="C77" s="1" t="s">
        <v>36</v>
      </c>
      <c r="D77" s="1" t="s">
        <v>32</v>
      </c>
      <c r="E77" s="1">
        <v>48948</v>
      </c>
      <c r="F77" s="1">
        <v>0</v>
      </c>
      <c r="G77" s="1">
        <v>0</v>
      </c>
      <c r="H77" s="2">
        <v>41306</v>
      </c>
      <c r="I77" s="1">
        <v>53</v>
      </c>
      <c r="J77" s="1">
        <v>437</v>
      </c>
      <c r="K77" s="1">
        <v>8</v>
      </c>
      <c r="L77" s="1">
        <v>206</v>
      </c>
      <c r="M77" s="1">
        <v>160</v>
      </c>
      <c r="N77" s="1">
        <v>49</v>
      </c>
      <c r="O77" s="1">
        <v>42</v>
      </c>
      <c r="P77" s="1">
        <v>2</v>
      </c>
      <c r="Q77" s="1">
        <v>7</v>
      </c>
      <c r="R77" s="1">
        <v>10</v>
      </c>
      <c r="S77" s="1">
        <v>5</v>
      </c>
      <c r="T77" s="1">
        <v>6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3</v>
      </c>
      <c r="AB77" s="1">
        <v>11</v>
      </c>
      <c r="AC77" s="1">
        <v>1</v>
      </c>
    </row>
    <row r="78" spans="1:29" x14ac:dyDescent="0.3">
      <c r="A78" s="1">
        <v>3007</v>
      </c>
      <c r="B78" s="1">
        <v>1966</v>
      </c>
      <c r="C78" s="1" t="s">
        <v>31</v>
      </c>
      <c r="D78" s="1" t="s">
        <v>35</v>
      </c>
      <c r="E78" s="1">
        <v>37758</v>
      </c>
      <c r="F78" s="1">
        <v>1</v>
      </c>
      <c r="G78" s="1">
        <v>1</v>
      </c>
      <c r="H78" s="2">
        <v>41186</v>
      </c>
      <c r="I78" s="1">
        <v>49</v>
      </c>
      <c r="J78" s="1">
        <v>27</v>
      </c>
      <c r="K78" s="1">
        <v>2</v>
      </c>
      <c r="L78" s="1">
        <v>10</v>
      </c>
      <c r="M78" s="1">
        <v>0</v>
      </c>
      <c r="N78" s="1">
        <v>0</v>
      </c>
      <c r="O78" s="1">
        <v>1</v>
      </c>
      <c r="P78" s="1">
        <v>2</v>
      </c>
      <c r="Q78" s="1">
        <v>1</v>
      </c>
      <c r="R78" s="1">
        <v>0</v>
      </c>
      <c r="S78" s="1">
        <v>3</v>
      </c>
      <c r="T78" s="1">
        <v>8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3</v>
      </c>
      <c r="AB78" s="1">
        <v>11</v>
      </c>
      <c r="AC78" s="1">
        <v>0</v>
      </c>
    </row>
    <row r="79" spans="1:29" x14ac:dyDescent="0.3">
      <c r="A79" s="1">
        <v>9973</v>
      </c>
      <c r="B79" s="1">
        <v>1963</v>
      </c>
      <c r="C79" s="1" t="s">
        <v>31</v>
      </c>
      <c r="D79" s="1" t="s">
        <v>30</v>
      </c>
      <c r="E79" s="1">
        <v>50437</v>
      </c>
      <c r="F79" s="1">
        <v>0</v>
      </c>
      <c r="G79" s="1">
        <v>2</v>
      </c>
      <c r="H79" s="2">
        <v>41199</v>
      </c>
      <c r="I79" s="1">
        <v>28</v>
      </c>
      <c r="J79" s="1">
        <v>370</v>
      </c>
      <c r="K79" s="1">
        <v>9</v>
      </c>
      <c r="L79" s="1">
        <v>92</v>
      </c>
      <c r="M79" s="1">
        <v>6</v>
      </c>
      <c r="N79" s="1">
        <v>9</v>
      </c>
      <c r="O79" s="1">
        <v>4</v>
      </c>
      <c r="P79" s="1">
        <v>3</v>
      </c>
      <c r="Q79" s="1">
        <v>7</v>
      </c>
      <c r="R79" s="1">
        <v>1</v>
      </c>
      <c r="S79" s="1">
        <v>8</v>
      </c>
      <c r="T79" s="1">
        <v>7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3</v>
      </c>
      <c r="AB79" s="1">
        <v>11</v>
      </c>
      <c r="AC79" s="1">
        <v>0</v>
      </c>
    </row>
    <row r="80" spans="1:29" x14ac:dyDescent="0.3">
      <c r="A80" s="1">
        <v>4437</v>
      </c>
      <c r="B80" s="1">
        <v>1962</v>
      </c>
      <c r="C80" s="1" t="s">
        <v>31</v>
      </c>
      <c r="D80" s="1" t="s">
        <v>30</v>
      </c>
      <c r="E80" s="1">
        <v>65316</v>
      </c>
      <c r="F80" s="1">
        <v>1</v>
      </c>
      <c r="G80" s="1">
        <v>1</v>
      </c>
      <c r="H80" s="2">
        <v>41388</v>
      </c>
      <c r="I80" s="1">
        <v>65</v>
      </c>
      <c r="J80" s="1">
        <v>112</v>
      </c>
      <c r="K80" s="1">
        <v>6</v>
      </c>
      <c r="L80" s="1">
        <v>92</v>
      </c>
      <c r="M80" s="1">
        <v>3</v>
      </c>
      <c r="N80" s="1">
        <v>9</v>
      </c>
      <c r="O80" s="1">
        <v>38</v>
      </c>
      <c r="P80" s="1">
        <v>2</v>
      </c>
      <c r="Q80" s="1">
        <v>3</v>
      </c>
      <c r="R80" s="1">
        <v>2</v>
      </c>
      <c r="S80" s="1">
        <v>5</v>
      </c>
      <c r="T80" s="1">
        <v>4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3</v>
      </c>
      <c r="AB80" s="1">
        <v>11</v>
      </c>
      <c r="AC80" s="1">
        <v>0</v>
      </c>
    </row>
    <row r="81" spans="1:29" x14ac:dyDescent="0.3">
      <c r="A81" s="1">
        <v>9938</v>
      </c>
      <c r="B81" s="1">
        <v>1954</v>
      </c>
      <c r="C81" s="1" t="s">
        <v>31</v>
      </c>
      <c r="D81" s="1" t="s">
        <v>30</v>
      </c>
      <c r="E81" s="1">
        <v>80067</v>
      </c>
      <c r="F81" s="1">
        <v>0</v>
      </c>
      <c r="G81" s="1">
        <v>0</v>
      </c>
      <c r="H81" s="2">
        <v>41536</v>
      </c>
      <c r="I81" s="1">
        <v>82</v>
      </c>
      <c r="J81" s="1">
        <v>519</v>
      </c>
      <c r="K81" s="1">
        <v>17</v>
      </c>
      <c r="L81" s="1">
        <v>813</v>
      </c>
      <c r="M81" s="1">
        <v>27</v>
      </c>
      <c r="N81" s="1">
        <v>173</v>
      </c>
      <c r="O81" s="1">
        <v>51</v>
      </c>
      <c r="P81" s="1">
        <v>1</v>
      </c>
      <c r="Q81" s="1">
        <v>4</v>
      </c>
      <c r="R81" s="1">
        <v>6</v>
      </c>
      <c r="S81" s="1">
        <v>6</v>
      </c>
      <c r="T81" s="1">
        <v>2</v>
      </c>
      <c r="U81" s="1">
        <v>0</v>
      </c>
      <c r="V81" s="1">
        <v>0</v>
      </c>
      <c r="W81" s="1">
        <v>1</v>
      </c>
      <c r="X81" s="1">
        <v>0</v>
      </c>
      <c r="Y81" s="1">
        <v>0</v>
      </c>
      <c r="Z81" s="1">
        <v>0</v>
      </c>
      <c r="AA81" s="1">
        <v>3</v>
      </c>
      <c r="AB81" s="1">
        <v>11</v>
      </c>
      <c r="AC81" s="1">
        <v>0</v>
      </c>
    </row>
    <row r="82" spans="1:29" x14ac:dyDescent="0.3">
      <c r="A82" s="1">
        <v>5370</v>
      </c>
      <c r="B82" s="1">
        <v>1973</v>
      </c>
      <c r="C82" s="1" t="s">
        <v>36</v>
      </c>
      <c r="D82" s="1" t="s">
        <v>30</v>
      </c>
      <c r="E82" s="1">
        <v>32644</v>
      </c>
      <c r="F82" s="1">
        <v>1</v>
      </c>
      <c r="G82" s="1">
        <v>0</v>
      </c>
      <c r="H82" s="2">
        <v>41290</v>
      </c>
      <c r="I82" s="1">
        <v>38</v>
      </c>
      <c r="J82" s="1">
        <v>239</v>
      </c>
      <c r="K82" s="1">
        <v>3</v>
      </c>
      <c r="L82" s="1">
        <v>141</v>
      </c>
      <c r="M82" s="1">
        <v>0</v>
      </c>
      <c r="N82" s="1">
        <v>7</v>
      </c>
      <c r="O82" s="1">
        <v>23</v>
      </c>
      <c r="P82" s="1">
        <v>4</v>
      </c>
      <c r="Q82" s="1">
        <v>7</v>
      </c>
      <c r="R82" s="1">
        <v>1</v>
      </c>
      <c r="S82" s="1">
        <v>6</v>
      </c>
      <c r="T82" s="1">
        <v>8</v>
      </c>
      <c r="U82" s="1">
        <v>1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3</v>
      </c>
      <c r="AB82" s="1">
        <v>11</v>
      </c>
      <c r="AC82" s="1">
        <v>0</v>
      </c>
    </row>
    <row r="83" spans="1:29" x14ac:dyDescent="0.3">
      <c r="A83" s="1">
        <v>10648</v>
      </c>
      <c r="B83" s="1">
        <v>1982</v>
      </c>
      <c r="C83" s="1" t="s">
        <v>29</v>
      </c>
      <c r="D83" s="1" t="s">
        <v>35</v>
      </c>
      <c r="E83" s="1">
        <v>66664</v>
      </c>
      <c r="F83" s="1">
        <v>0</v>
      </c>
      <c r="G83" s="1">
        <v>0</v>
      </c>
      <c r="H83" s="2">
        <v>41177</v>
      </c>
      <c r="I83" s="1">
        <v>78</v>
      </c>
      <c r="J83" s="1">
        <v>398</v>
      </c>
      <c r="K83" s="1">
        <v>96</v>
      </c>
      <c r="L83" s="1">
        <v>447</v>
      </c>
      <c r="M83" s="1">
        <v>220</v>
      </c>
      <c r="N83" s="1">
        <v>96</v>
      </c>
      <c r="O83" s="1">
        <v>32</v>
      </c>
      <c r="P83" s="1">
        <v>1</v>
      </c>
      <c r="Q83" s="1">
        <v>5</v>
      </c>
      <c r="R83" s="1">
        <v>7</v>
      </c>
      <c r="S83" s="1">
        <v>6</v>
      </c>
      <c r="T83" s="1">
        <v>3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3</v>
      </c>
      <c r="AB83" s="1">
        <v>11</v>
      </c>
      <c r="AC83" s="1">
        <v>0</v>
      </c>
    </row>
    <row r="84" spans="1:29" x14ac:dyDescent="0.3">
      <c r="A84" s="1">
        <v>7386</v>
      </c>
      <c r="B84" s="1">
        <v>1976</v>
      </c>
      <c r="C84" s="1" t="s">
        <v>31</v>
      </c>
      <c r="D84" s="1" t="s">
        <v>32</v>
      </c>
      <c r="E84" s="1">
        <v>30992</v>
      </c>
      <c r="F84" s="1">
        <v>1</v>
      </c>
      <c r="G84" s="1">
        <v>0</v>
      </c>
      <c r="H84" s="2">
        <v>41386</v>
      </c>
      <c r="I84" s="1">
        <v>83</v>
      </c>
      <c r="J84" s="1">
        <v>17</v>
      </c>
      <c r="K84" s="1">
        <v>0</v>
      </c>
      <c r="L84" s="1">
        <v>14</v>
      </c>
      <c r="M84" s="1">
        <v>7</v>
      </c>
      <c r="N84" s="1">
        <v>3</v>
      </c>
      <c r="O84" s="1">
        <v>2</v>
      </c>
      <c r="P84" s="1">
        <v>1</v>
      </c>
      <c r="Q84" s="1">
        <v>1</v>
      </c>
      <c r="R84" s="1">
        <v>0</v>
      </c>
      <c r="S84" s="1">
        <v>3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3</v>
      </c>
      <c r="AB84" s="1">
        <v>11</v>
      </c>
      <c r="AC84" s="1">
        <v>0</v>
      </c>
    </row>
    <row r="85" spans="1:29" x14ac:dyDescent="0.3">
      <c r="A85" s="1">
        <v>6653</v>
      </c>
      <c r="B85" s="1">
        <v>1970</v>
      </c>
      <c r="C85" s="1" t="s">
        <v>36</v>
      </c>
      <c r="D85" s="1" t="s">
        <v>30</v>
      </c>
      <c r="E85" s="1">
        <v>55158</v>
      </c>
      <c r="F85" s="1">
        <v>1</v>
      </c>
      <c r="G85" s="1">
        <v>1</v>
      </c>
      <c r="H85" s="2">
        <v>41120</v>
      </c>
      <c r="I85" s="1">
        <v>72</v>
      </c>
      <c r="J85" s="1">
        <v>293</v>
      </c>
      <c r="K85" s="1">
        <v>0</v>
      </c>
      <c r="L85" s="1">
        <v>87</v>
      </c>
      <c r="M85" s="1">
        <v>4</v>
      </c>
      <c r="N85" s="1">
        <v>11</v>
      </c>
      <c r="O85" s="1">
        <v>23</v>
      </c>
      <c r="P85" s="1">
        <v>4</v>
      </c>
      <c r="Q85" s="1">
        <v>7</v>
      </c>
      <c r="R85" s="1">
        <v>2</v>
      </c>
      <c r="S85" s="1">
        <v>5</v>
      </c>
      <c r="T85" s="1">
        <v>7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3</v>
      </c>
      <c r="AB85" s="1">
        <v>11</v>
      </c>
      <c r="AC85" s="1">
        <v>1</v>
      </c>
    </row>
    <row r="86" spans="1:29" x14ac:dyDescent="0.3">
      <c r="A86" s="1">
        <v>10814</v>
      </c>
      <c r="B86" s="1">
        <v>1947</v>
      </c>
      <c r="C86" s="1" t="s">
        <v>31</v>
      </c>
      <c r="D86" s="1" t="s">
        <v>35</v>
      </c>
      <c r="E86" s="1">
        <v>70321</v>
      </c>
      <c r="F86" s="1">
        <v>0</v>
      </c>
      <c r="G86" s="1">
        <v>0</v>
      </c>
      <c r="H86" s="2">
        <v>41290</v>
      </c>
      <c r="I86" s="1">
        <v>6</v>
      </c>
      <c r="J86" s="1">
        <v>303</v>
      </c>
      <c r="K86" s="1">
        <v>23</v>
      </c>
      <c r="L86" s="1">
        <v>751</v>
      </c>
      <c r="M86" s="1">
        <v>82</v>
      </c>
      <c r="N86" s="1">
        <v>26</v>
      </c>
      <c r="O86" s="1">
        <v>191</v>
      </c>
      <c r="P86" s="1">
        <v>1</v>
      </c>
      <c r="Q86" s="1">
        <v>6</v>
      </c>
      <c r="R86" s="1">
        <v>5</v>
      </c>
      <c r="S86" s="1">
        <v>13</v>
      </c>
      <c r="T86" s="1">
        <v>4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3</v>
      </c>
      <c r="AB86" s="1">
        <v>11</v>
      </c>
      <c r="AC86" s="1">
        <v>1</v>
      </c>
    </row>
    <row r="87" spans="1:29" x14ac:dyDescent="0.3">
      <c r="A87" s="1">
        <v>7212</v>
      </c>
      <c r="B87" s="1">
        <v>1966</v>
      </c>
      <c r="C87" s="1" t="s">
        <v>31</v>
      </c>
      <c r="D87" s="1" t="s">
        <v>30</v>
      </c>
      <c r="E87" s="1">
        <v>44794</v>
      </c>
      <c r="F87" s="1">
        <v>0</v>
      </c>
      <c r="G87" s="1">
        <v>1</v>
      </c>
      <c r="H87" s="2">
        <v>41798</v>
      </c>
      <c r="I87" s="1">
        <v>99</v>
      </c>
      <c r="J87" s="1">
        <v>54</v>
      </c>
      <c r="K87" s="1">
        <v>0</v>
      </c>
      <c r="L87" s="1">
        <v>7</v>
      </c>
      <c r="M87" s="1">
        <v>0</v>
      </c>
      <c r="N87" s="1">
        <v>0</v>
      </c>
      <c r="O87" s="1">
        <v>4</v>
      </c>
      <c r="P87" s="1">
        <v>1</v>
      </c>
      <c r="Q87" s="1">
        <v>2</v>
      </c>
      <c r="R87" s="1">
        <v>0</v>
      </c>
      <c r="S87" s="1">
        <v>3</v>
      </c>
      <c r="T87" s="1">
        <v>6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3</v>
      </c>
      <c r="AB87" s="1">
        <v>11</v>
      </c>
      <c r="AC87" s="1">
        <v>0</v>
      </c>
    </row>
    <row r="88" spans="1:29" x14ac:dyDescent="0.3">
      <c r="A88" s="1">
        <v>5510</v>
      </c>
      <c r="B88" s="1">
        <v>1977</v>
      </c>
      <c r="C88" s="1" t="s">
        <v>34</v>
      </c>
      <c r="D88" s="1" t="s">
        <v>30</v>
      </c>
      <c r="E88" s="1">
        <v>43263</v>
      </c>
      <c r="F88" s="1">
        <v>0</v>
      </c>
      <c r="G88" s="1">
        <v>1</v>
      </c>
      <c r="H88" s="2">
        <v>41234</v>
      </c>
      <c r="I88" s="1">
        <v>2</v>
      </c>
      <c r="J88" s="1">
        <v>262</v>
      </c>
      <c r="K88" s="1">
        <v>6</v>
      </c>
      <c r="L88" s="1">
        <v>61</v>
      </c>
      <c r="M88" s="1">
        <v>0</v>
      </c>
      <c r="N88" s="1">
        <v>10</v>
      </c>
      <c r="O88" s="1">
        <v>102</v>
      </c>
      <c r="P88" s="1">
        <v>3</v>
      </c>
      <c r="Q88" s="1">
        <v>5</v>
      </c>
      <c r="R88" s="1">
        <v>2</v>
      </c>
      <c r="S88" s="1">
        <v>6</v>
      </c>
      <c r="T88" s="1">
        <v>5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3</v>
      </c>
      <c r="AB88" s="1">
        <v>11</v>
      </c>
      <c r="AC88" s="1">
        <v>0</v>
      </c>
    </row>
    <row r="89" spans="1:29" x14ac:dyDescent="0.3">
      <c r="A89" s="1">
        <v>5236</v>
      </c>
      <c r="B89" s="1">
        <v>1979</v>
      </c>
      <c r="C89" s="1" t="s">
        <v>31</v>
      </c>
      <c r="D89" s="1" t="s">
        <v>35</v>
      </c>
      <c r="E89" s="1">
        <v>77568</v>
      </c>
      <c r="F89" s="1">
        <v>0</v>
      </c>
      <c r="G89" s="1">
        <v>1</v>
      </c>
      <c r="H89" s="2">
        <v>41146</v>
      </c>
      <c r="I89" s="1">
        <v>30</v>
      </c>
      <c r="J89" s="1">
        <v>1230</v>
      </c>
      <c r="K89" s="1">
        <v>0</v>
      </c>
      <c r="L89" s="1">
        <v>396</v>
      </c>
      <c r="M89" s="1">
        <v>232</v>
      </c>
      <c r="N89" s="1">
        <v>178</v>
      </c>
      <c r="O89" s="1">
        <v>158</v>
      </c>
      <c r="P89" s="1">
        <v>1</v>
      </c>
      <c r="Q89" s="1">
        <v>10</v>
      </c>
      <c r="R89" s="1">
        <v>2</v>
      </c>
      <c r="S89" s="1">
        <v>8</v>
      </c>
      <c r="T89" s="1">
        <v>5</v>
      </c>
      <c r="U89" s="1">
        <v>0</v>
      </c>
      <c r="V89" s="1">
        <v>1</v>
      </c>
      <c r="W89" s="1">
        <v>1</v>
      </c>
      <c r="X89" s="1">
        <v>1</v>
      </c>
      <c r="Y89" s="1">
        <v>0</v>
      </c>
      <c r="Z89" s="1">
        <v>0</v>
      </c>
      <c r="AA89" s="1">
        <v>3</v>
      </c>
      <c r="AB89" s="1">
        <v>11</v>
      </c>
      <c r="AC89" s="1">
        <v>0</v>
      </c>
    </row>
    <row r="90" spans="1:29" x14ac:dyDescent="0.3">
      <c r="A90" s="1">
        <v>6201</v>
      </c>
      <c r="B90" s="1">
        <v>1978</v>
      </c>
      <c r="C90" s="1" t="s">
        <v>31</v>
      </c>
      <c r="D90" s="1" t="s">
        <v>33</v>
      </c>
      <c r="E90" s="1">
        <v>38643</v>
      </c>
      <c r="F90" s="1">
        <v>1</v>
      </c>
      <c r="G90" s="1">
        <v>1</v>
      </c>
      <c r="H90" s="2">
        <v>41607</v>
      </c>
      <c r="I90" s="1">
        <v>45</v>
      </c>
      <c r="J90" s="1">
        <v>22</v>
      </c>
      <c r="K90" s="1">
        <v>2</v>
      </c>
      <c r="L90" s="1">
        <v>14</v>
      </c>
      <c r="M90" s="1">
        <v>0</v>
      </c>
      <c r="N90" s="1">
        <v>1</v>
      </c>
      <c r="O90" s="1">
        <v>10</v>
      </c>
      <c r="P90" s="1">
        <v>2</v>
      </c>
      <c r="Q90" s="1">
        <v>2</v>
      </c>
      <c r="R90" s="1">
        <v>0</v>
      </c>
      <c r="S90" s="1">
        <v>3</v>
      </c>
      <c r="T90" s="1">
        <v>7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1</v>
      </c>
      <c r="AA90" s="1">
        <v>3</v>
      </c>
      <c r="AB90" s="1">
        <v>11</v>
      </c>
      <c r="AC90" s="1">
        <v>0</v>
      </c>
    </row>
    <row r="91" spans="1:29" x14ac:dyDescent="0.3">
      <c r="A91" s="1">
        <v>4385</v>
      </c>
      <c r="B91" s="1">
        <v>1981</v>
      </c>
      <c r="C91" s="1" t="s">
        <v>36</v>
      </c>
      <c r="D91" s="1" t="s">
        <v>33</v>
      </c>
      <c r="E91" s="1">
        <v>36038</v>
      </c>
      <c r="F91" s="1">
        <v>1</v>
      </c>
      <c r="G91" s="1">
        <v>0</v>
      </c>
      <c r="H91" s="2">
        <v>41425</v>
      </c>
      <c r="I91" s="1">
        <v>82</v>
      </c>
      <c r="J91" s="1">
        <v>23</v>
      </c>
      <c r="K91" s="1">
        <v>0</v>
      </c>
      <c r="L91" s="1">
        <v>15</v>
      </c>
      <c r="M91" s="1">
        <v>0</v>
      </c>
      <c r="N91" s="1">
        <v>2</v>
      </c>
      <c r="O91" s="1">
        <v>7</v>
      </c>
      <c r="P91" s="1">
        <v>2</v>
      </c>
      <c r="Q91" s="1">
        <v>3</v>
      </c>
      <c r="R91" s="1">
        <v>0</v>
      </c>
      <c r="S91" s="1">
        <v>3</v>
      </c>
      <c r="T91" s="1">
        <v>6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3</v>
      </c>
      <c r="AB91" s="1">
        <v>11</v>
      </c>
      <c r="AC91" s="1">
        <v>0</v>
      </c>
    </row>
    <row r="92" spans="1:29" x14ac:dyDescent="0.3">
      <c r="A92" s="1">
        <v>9645</v>
      </c>
      <c r="B92" s="1">
        <v>1968</v>
      </c>
      <c r="C92" s="1" t="s">
        <v>31</v>
      </c>
      <c r="D92" s="1" t="s">
        <v>30</v>
      </c>
      <c r="E92" s="1">
        <v>64590</v>
      </c>
      <c r="F92" s="1">
        <v>0</v>
      </c>
      <c r="G92" s="1">
        <v>0</v>
      </c>
      <c r="H92" s="2">
        <v>41196</v>
      </c>
      <c r="I92" s="1">
        <v>98</v>
      </c>
      <c r="J92" s="1">
        <v>920</v>
      </c>
      <c r="K92" s="1">
        <v>138</v>
      </c>
      <c r="L92" s="1">
        <v>168</v>
      </c>
      <c r="M92" s="1">
        <v>36</v>
      </c>
      <c r="N92" s="1">
        <v>46</v>
      </c>
      <c r="O92" s="1">
        <v>30</v>
      </c>
      <c r="P92" s="1">
        <v>1</v>
      </c>
      <c r="Q92" s="1">
        <v>9</v>
      </c>
      <c r="R92" s="1">
        <v>4</v>
      </c>
      <c r="S92" s="1">
        <v>10</v>
      </c>
      <c r="T92" s="1">
        <v>6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3</v>
      </c>
      <c r="AB92" s="1">
        <v>11</v>
      </c>
      <c r="AC92" s="1">
        <v>0</v>
      </c>
    </row>
    <row r="93" spans="1:29" x14ac:dyDescent="0.3">
      <c r="A93" s="1">
        <v>1010</v>
      </c>
      <c r="B93" s="1">
        <v>1977</v>
      </c>
      <c r="C93" s="1" t="s">
        <v>31</v>
      </c>
      <c r="D93" s="1" t="s">
        <v>35</v>
      </c>
      <c r="E93" s="1">
        <v>46931</v>
      </c>
      <c r="F93" s="1">
        <v>2</v>
      </c>
      <c r="G93" s="1">
        <v>1</v>
      </c>
      <c r="H93" s="2">
        <v>41753</v>
      </c>
      <c r="I93" s="1">
        <v>94</v>
      </c>
      <c r="J93" s="1">
        <v>41</v>
      </c>
      <c r="K93" s="1">
        <v>0</v>
      </c>
      <c r="L93" s="1">
        <v>17</v>
      </c>
      <c r="M93" s="1">
        <v>3</v>
      </c>
      <c r="N93" s="1">
        <v>1</v>
      </c>
      <c r="O93" s="1">
        <v>16</v>
      </c>
      <c r="P93" s="1">
        <v>2</v>
      </c>
      <c r="Q93" s="1">
        <v>1</v>
      </c>
      <c r="R93" s="1">
        <v>1</v>
      </c>
      <c r="S93" s="1">
        <v>3</v>
      </c>
      <c r="T93" s="1">
        <v>3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3</v>
      </c>
      <c r="AB93" s="1">
        <v>11</v>
      </c>
      <c r="AC93" s="1">
        <v>0</v>
      </c>
    </row>
    <row r="94" spans="1:29" x14ac:dyDescent="0.3">
      <c r="A94" s="1">
        <v>1409</v>
      </c>
      <c r="B94" s="1">
        <v>1951</v>
      </c>
      <c r="C94" s="1" t="s">
        <v>31</v>
      </c>
      <c r="D94" s="1" t="s">
        <v>35</v>
      </c>
      <c r="E94" s="1">
        <v>40689</v>
      </c>
      <c r="F94" s="1">
        <v>0</v>
      </c>
      <c r="G94" s="1">
        <v>1</v>
      </c>
      <c r="H94" s="2">
        <v>41351</v>
      </c>
      <c r="I94" s="1">
        <v>69</v>
      </c>
      <c r="J94" s="1">
        <v>270</v>
      </c>
      <c r="K94" s="1">
        <v>3</v>
      </c>
      <c r="L94" s="1">
        <v>27</v>
      </c>
      <c r="M94" s="1">
        <v>39</v>
      </c>
      <c r="N94" s="1">
        <v>6</v>
      </c>
      <c r="O94" s="1">
        <v>99</v>
      </c>
      <c r="P94" s="1">
        <v>7</v>
      </c>
      <c r="Q94" s="1">
        <v>7</v>
      </c>
      <c r="R94" s="1">
        <v>1</v>
      </c>
      <c r="S94" s="1">
        <v>5</v>
      </c>
      <c r="T94" s="1">
        <v>8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3</v>
      </c>
      <c r="AB94" s="1">
        <v>11</v>
      </c>
      <c r="AC94" s="1">
        <v>0</v>
      </c>
    </row>
    <row r="95" spans="1:29" x14ac:dyDescent="0.3">
      <c r="A95" s="1">
        <v>2471</v>
      </c>
      <c r="B95" s="1">
        <v>1965</v>
      </c>
      <c r="C95" s="1" t="s">
        <v>31</v>
      </c>
      <c r="D95" s="1" t="s">
        <v>30</v>
      </c>
      <c r="E95" s="1">
        <v>61482</v>
      </c>
      <c r="F95" s="1">
        <v>0</v>
      </c>
      <c r="G95" s="1">
        <v>0</v>
      </c>
      <c r="H95" s="2">
        <v>41817</v>
      </c>
      <c r="I95" s="1">
        <v>39</v>
      </c>
      <c r="J95" s="1">
        <v>48</v>
      </c>
      <c r="K95" s="1">
        <v>58</v>
      </c>
      <c r="L95" s="1">
        <v>68</v>
      </c>
      <c r="M95" s="1">
        <v>16</v>
      </c>
      <c r="N95" s="1">
        <v>66</v>
      </c>
      <c r="O95" s="1">
        <v>43</v>
      </c>
      <c r="P95" s="1">
        <v>1</v>
      </c>
      <c r="Q95" s="1">
        <v>3</v>
      </c>
      <c r="R95" s="1">
        <v>2</v>
      </c>
      <c r="S95" s="1">
        <v>6</v>
      </c>
      <c r="T95" s="1">
        <v>2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3</v>
      </c>
      <c r="AB95" s="1">
        <v>11</v>
      </c>
      <c r="AC95" s="1">
        <v>0</v>
      </c>
    </row>
    <row r="96" spans="1:29" x14ac:dyDescent="0.3">
      <c r="A96" s="1">
        <v>10245</v>
      </c>
      <c r="B96" s="1">
        <v>1986</v>
      </c>
      <c r="C96" s="1" t="s">
        <v>29</v>
      </c>
      <c r="D96" s="1" t="s">
        <v>33</v>
      </c>
      <c r="E96" s="1">
        <v>80910</v>
      </c>
      <c r="F96" s="1">
        <v>0</v>
      </c>
      <c r="G96" s="1">
        <v>0</v>
      </c>
      <c r="H96" s="2">
        <v>41213</v>
      </c>
      <c r="I96" s="1">
        <v>71</v>
      </c>
      <c r="J96" s="1">
        <v>160</v>
      </c>
      <c r="K96" s="1">
        <v>80</v>
      </c>
      <c r="L96" s="1">
        <v>369</v>
      </c>
      <c r="M96" s="1">
        <v>67</v>
      </c>
      <c r="N96" s="1">
        <v>39</v>
      </c>
      <c r="O96" s="1">
        <v>41</v>
      </c>
      <c r="P96" s="1">
        <v>1</v>
      </c>
      <c r="Q96" s="1">
        <v>3</v>
      </c>
      <c r="R96" s="1">
        <v>3</v>
      </c>
      <c r="S96" s="1">
        <v>8</v>
      </c>
      <c r="T96" s="1">
        <v>1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3</v>
      </c>
      <c r="AB96" s="1">
        <v>11</v>
      </c>
      <c r="AC96" s="1">
        <v>0</v>
      </c>
    </row>
    <row r="97" spans="1:29" x14ac:dyDescent="0.3">
      <c r="A97" s="1">
        <v>2952</v>
      </c>
      <c r="B97" s="1">
        <v>1977</v>
      </c>
      <c r="C97" s="1" t="s">
        <v>34</v>
      </c>
      <c r="D97" s="1" t="s">
        <v>33</v>
      </c>
      <c r="E97" s="1">
        <v>36273</v>
      </c>
      <c r="F97" s="1">
        <v>1</v>
      </c>
      <c r="G97" s="1">
        <v>0</v>
      </c>
      <c r="H97" s="2">
        <v>41745</v>
      </c>
      <c r="I97" s="1">
        <v>80</v>
      </c>
      <c r="J97" s="1">
        <v>29</v>
      </c>
      <c r="K97" s="1">
        <v>3</v>
      </c>
      <c r="L97" s="1">
        <v>30</v>
      </c>
      <c r="M97" s="1">
        <v>3</v>
      </c>
      <c r="N97" s="1">
        <v>2</v>
      </c>
      <c r="O97" s="1">
        <v>9</v>
      </c>
      <c r="P97" s="1">
        <v>2</v>
      </c>
      <c r="Q97" s="1">
        <v>3</v>
      </c>
      <c r="R97" s="1">
        <v>0</v>
      </c>
      <c r="S97" s="1">
        <v>3</v>
      </c>
      <c r="T97" s="1">
        <v>6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3</v>
      </c>
      <c r="AB97" s="1">
        <v>11</v>
      </c>
      <c r="AC97" s="1">
        <v>0</v>
      </c>
    </row>
    <row r="98" spans="1:29" x14ac:dyDescent="0.3">
      <c r="A98" s="1">
        <v>3334</v>
      </c>
      <c r="B98" s="1">
        <v>1951</v>
      </c>
      <c r="C98" s="1" t="s">
        <v>31</v>
      </c>
      <c r="D98" s="1" t="s">
        <v>30</v>
      </c>
      <c r="E98" s="1">
        <v>94642</v>
      </c>
      <c r="F98" s="1">
        <v>0</v>
      </c>
      <c r="G98" s="1">
        <v>0</v>
      </c>
      <c r="H98" s="2">
        <v>41682</v>
      </c>
      <c r="I98" s="1">
        <v>35</v>
      </c>
      <c r="J98" s="1">
        <v>879</v>
      </c>
      <c r="K98" s="1">
        <v>143</v>
      </c>
      <c r="L98" s="1">
        <v>797</v>
      </c>
      <c r="M98" s="1">
        <v>106</v>
      </c>
      <c r="N98" s="1">
        <v>143</v>
      </c>
      <c r="O98" s="1">
        <v>143</v>
      </c>
      <c r="P98" s="1">
        <v>0</v>
      </c>
      <c r="Q98" s="1">
        <v>5</v>
      </c>
      <c r="R98" s="1">
        <v>7</v>
      </c>
      <c r="S98" s="1">
        <v>9</v>
      </c>
      <c r="T98" s="1">
        <v>1</v>
      </c>
      <c r="U98" s="1">
        <v>0</v>
      </c>
      <c r="V98" s="1">
        <v>0</v>
      </c>
      <c r="W98" s="1">
        <v>1</v>
      </c>
      <c r="X98" s="1">
        <v>1</v>
      </c>
      <c r="Y98" s="1">
        <v>0</v>
      </c>
      <c r="Z98" s="1">
        <v>0</v>
      </c>
      <c r="AA98" s="1">
        <v>3</v>
      </c>
      <c r="AB98" s="1">
        <v>11</v>
      </c>
      <c r="AC98" s="1">
        <v>0</v>
      </c>
    </row>
    <row r="99" spans="1:29" x14ac:dyDescent="0.3">
      <c r="A99" s="1">
        <v>1340</v>
      </c>
      <c r="B99" s="1">
        <v>1986</v>
      </c>
      <c r="C99" s="1" t="s">
        <v>31</v>
      </c>
      <c r="D99" s="1" t="s">
        <v>30</v>
      </c>
      <c r="E99" s="1">
        <v>92910</v>
      </c>
      <c r="F99" s="1">
        <v>0</v>
      </c>
      <c r="G99" s="1">
        <v>0</v>
      </c>
      <c r="H99" s="2">
        <v>41753</v>
      </c>
      <c r="I99" s="1">
        <v>42</v>
      </c>
      <c r="J99" s="1">
        <v>551</v>
      </c>
      <c r="K99" s="1">
        <v>137</v>
      </c>
      <c r="L99" s="1">
        <v>792</v>
      </c>
      <c r="M99" s="1">
        <v>179</v>
      </c>
      <c r="N99" s="1">
        <v>103</v>
      </c>
      <c r="O99" s="1">
        <v>33</v>
      </c>
      <c r="P99" s="1">
        <v>1</v>
      </c>
      <c r="Q99" s="1">
        <v>6</v>
      </c>
      <c r="R99" s="1">
        <v>7</v>
      </c>
      <c r="S99" s="1">
        <v>13</v>
      </c>
      <c r="T99" s="1">
        <v>1</v>
      </c>
      <c r="U99" s="1">
        <v>0</v>
      </c>
      <c r="V99" s="1">
        <v>1</v>
      </c>
      <c r="W99" s="1">
        <v>1</v>
      </c>
      <c r="X99" s="1">
        <v>1</v>
      </c>
      <c r="Y99" s="1">
        <v>0</v>
      </c>
      <c r="Z99" s="1">
        <v>0</v>
      </c>
      <c r="AA99" s="1">
        <v>3</v>
      </c>
      <c r="AB99" s="1">
        <v>11</v>
      </c>
      <c r="AC99" s="1">
        <v>0</v>
      </c>
    </row>
    <row r="100" spans="1:29" x14ac:dyDescent="0.3">
      <c r="A100" s="1">
        <v>5077</v>
      </c>
      <c r="B100" s="1">
        <v>1979</v>
      </c>
      <c r="C100" s="1" t="s">
        <v>31</v>
      </c>
      <c r="D100" s="1" t="s">
        <v>35</v>
      </c>
      <c r="E100" s="1">
        <v>77298</v>
      </c>
      <c r="F100" s="1">
        <v>0</v>
      </c>
      <c r="G100" s="1">
        <v>1</v>
      </c>
      <c r="H100" s="2">
        <v>41580</v>
      </c>
      <c r="I100" s="1">
        <v>46</v>
      </c>
      <c r="J100" s="1">
        <v>425</v>
      </c>
      <c r="K100" s="1">
        <v>115</v>
      </c>
      <c r="L100" s="1">
        <v>292</v>
      </c>
      <c r="M100" s="1">
        <v>23</v>
      </c>
      <c r="N100" s="1">
        <v>35</v>
      </c>
      <c r="O100" s="1">
        <v>79</v>
      </c>
      <c r="P100" s="1">
        <v>1</v>
      </c>
      <c r="Q100" s="1">
        <v>6</v>
      </c>
      <c r="R100" s="1">
        <v>6</v>
      </c>
      <c r="S100" s="1">
        <v>11</v>
      </c>
      <c r="T100" s="1">
        <v>3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3</v>
      </c>
      <c r="AB100" s="1">
        <v>11</v>
      </c>
      <c r="AC100" s="1">
        <v>0</v>
      </c>
    </row>
    <row r="101" spans="1:29" x14ac:dyDescent="0.3">
      <c r="A101" s="1">
        <v>8553</v>
      </c>
      <c r="B101" s="1">
        <v>1965</v>
      </c>
      <c r="C101" s="1" t="s">
        <v>31</v>
      </c>
      <c r="D101" s="1" t="s">
        <v>30</v>
      </c>
      <c r="E101" s="1">
        <v>44300</v>
      </c>
      <c r="F101" s="1">
        <v>1</v>
      </c>
      <c r="G101" s="1">
        <v>1</v>
      </c>
      <c r="H101" s="2">
        <v>41448</v>
      </c>
      <c r="I101" s="1">
        <v>65</v>
      </c>
      <c r="J101" s="1">
        <v>30</v>
      </c>
      <c r="K101" s="1">
        <v>0</v>
      </c>
      <c r="L101" s="1">
        <v>9</v>
      </c>
      <c r="M101" s="1">
        <v>0</v>
      </c>
      <c r="N101" s="1">
        <v>0</v>
      </c>
      <c r="O101" s="1">
        <v>3</v>
      </c>
      <c r="P101" s="1">
        <v>2</v>
      </c>
      <c r="Q101" s="1">
        <v>1</v>
      </c>
      <c r="R101" s="1">
        <v>0</v>
      </c>
      <c r="S101" s="1">
        <v>3</v>
      </c>
      <c r="T101" s="1">
        <v>6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3</v>
      </c>
      <c r="AB101" s="1">
        <v>11</v>
      </c>
      <c r="AC101" s="1">
        <v>0</v>
      </c>
    </row>
    <row r="102" spans="1:29" s="3" customFormat="1" x14ac:dyDescent="0.3">
      <c r="A102" s="3" t="s">
        <v>62</v>
      </c>
      <c r="E102" s="3">
        <f t="shared" ref="E102:AC102" si="0">SUM(E2:E101)</f>
        <v>5332084</v>
      </c>
      <c r="F102" s="3">
        <f t="shared" si="0"/>
        <v>46</v>
      </c>
      <c r="G102" s="3">
        <f t="shared" si="0"/>
        <v>56</v>
      </c>
      <c r="H102" s="3">
        <f t="shared" si="0"/>
        <v>4142733</v>
      </c>
      <c r="I102" s="3">
        <f t="shared" si="0"/>
        <v>5252</v>
      </c>
      <c r="J102" s="3">
        <f t="shared" si="0"/>
        <v>33358</v>
      </c>
      <c r="K102" s="3">
        <f t="shared" si="0"/>
        <v>2437</v>
      </c>
      <c r="L102" s="3">
        <f t="shared" si="0"/>
        <v>17725</v>
      </c>
      <c r="M102" s="3">
        <f t="shared" si="0"/>
        <v>3781</v>
      </c>
      <c r="N102" s="3">
        <f t="shared" si="0"/>
        <v>3313</v>
      </c>
      <c r="O102" s="3">
        <f t="shared" si="0"/>
        <v>5009</v>
      </c>
      <c r="P102" s="3">
        <f t="shared" si="0"/>
        <v>235</v>
      </c>
      <c r="Q102" s="3">
        <f t="shared" si="0"/>
        <v>422</v>
      </c>
      <c r="R102" s="3">
        <f t="shared" si="0"/>
        <v>255</v>
      </c>
      <c r="S102" s="3">
        <f t="shared" si="0"/>
        <v>558</v>
      </c>
      <c r="T102" s="3">
        <f t="shared" si="0"/>
        <v>528</v>
      </c>
      <c r="U102" s="3">
        <f t="shared" si="0"/>
        <v>10</v>
      </c>
      <c r="V102" s="3">
        <f t="shared" si="0"/>
        <v>7</v>
      </c>
      <c r="W102" s="3">
        <f t="shared" si="0"/>
        <v>10</v>
      </c>
      <c r="X102" s="3">
        <f t="shared" si="0"/>
        <v>8</v>
      </c>
      <c r="Y102" s="3">
        <f t="shared" si="0"/>
        <v>0</v>
      </c>
      <c r="Z102" s="3">
        <f t="shared" si="0"/>
        <v>1</v>
      </c>
      <c r="AA102" s="3">
        <f t="shared" si="0"/>
        <v>300</v>
      </c>
      <c r="AB102" s="3">
        <f t="shared" si="0"/>
        <v>1100</v>
      </c>
      <c r="AC102" s="3">
        <f t="shared" si="0"/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109C-3CF8-4EDA-8343-13B66858E5D6}">
  <dimension ref="A1:U102"/>
  <sheetViews>
    <sheetView zoomScale="115" zoomScaleNormal="115" workbookViewId="0">
      <selection activeCell="J10" sqref="J10"/>
    </sheetView>
  </sheetViews>
  <sheetFormatPr defaultRowHeight="14.4" x14ac:dyDescent="0.3"/>
  <cols>
    <col min="1" max="1" width="10.21875" bestFit="1" customWidth="1"/>
    <col min="2" max="2" width="19" bestFit="1" customWidth="1"/>
    <col min="5" max="5" width="12.33203125" bestFit="1" customWidth="1"/>
    <col min="6" max="6" width="13.109375" bestFit="1" customWidth="1"/>
    <col min="7" max="7" width="13.44140625" bestFit="1" customWidth="1"/>
    <col min="8" max="8" width="13.109375" bestFit="1" customWidth="1"/>
    <col min="9" max="9" width="12.5546875" bestFit="1" customWidth="1"/>
    <col min="10" max="13" width="13.109375" bestFit="1" customWidth="1"/>
    <col min="20" max="20" width="13.44140625" bestFit="1" customWidth="1"/>
    <col min="21" max="21" width="4.109375" bestFit="1" customWidth="1"/>
  </cols>
  <sheetData>
    <row r="1" spans="1:21" x14ac:dyDescent="0.3">
      <c r="A1" s="10" t="s">
        <v>107</v>
      </c>
      <c r="B1" s="10" t="s">
        <v>108</v>
      </c>
      <c r="T1" t="s">
        <v>104</v>
      </c>
    </row>
    <row r="2" spans="1:21" ht="15" thickBot="1" x14ac:dyDescent="0.35">
      <c r="A2" s="19">
        <v>46891</v>
      </c>
      <c r="B2" s="19">
        <v>23</v>
      </c>
      <c r="E2" s="9" t="s">
        <v>82</v>
      </c>
    </row>
    <row r="3" spans="1:21" ht="15" thickBot="1" x14ac:dyDescent="0.35">
      <c r="A3" s="19">
        <v>70951</v>
      </c>
      <c r="B3" s="19">
        <v>554</v>
      </c>
      <c r="T3" s="6" t="s">
        <v>105</v>
      </c>
      <c r="U3" s="6" t="s">
        <v>106</v>
      </c>
    </row>
    <row r="4" spans="1:21" x14ac:dyDescent="0.3">
      <c r="A4" s="19">
        <v>71022</v>
      </c>
      <c r="B4" s="19">
        <v>278</v>
      </c>
      <c r="E4" s="20" t="s">
        <v>83</v>
      </c>
      <c r="F4" s="20"/>
      <c r="T4" s="4">
        <v>0.50505050505050508</v>
      </c>
      <c r="U4" s="4">
        <v>4</v>
      </c>
    </row>
    <row r="5" spans="1:21" x14ac:dyDescent="0.3">
      <c r="A5" s="19">
        <v>22448</v>
      </c>
      <c r="B5" s="19">
        <v>8</v>
      </c>
      <c r="E5" s="4" t="s">
        <v>84</v>
      </c>
      <c r="F5" s="23">
        <v>0.7800242632987755</v>
      </c>
      <c r="G5" s="17" t="s">
        <v>109</v>
      </c>
      <c r="H5" s="39" t="s">
        <v>110</v>
      </c>
      <c r="I5" s="39"/>
      <c r="J5" s="39"/>
      <c r="K5" s="39"/>
      <c r="L5" s="39"/>
      <c r="M5" s="39"/>
      <c r="T5" s="4">
        <v>1.5151515151515151</v>
      </c>
      <c r="U5" s="4">
        <v>4</v>
      </c>
    </row>
    <row r="6" spans="1:21" x14ac:dyDescent="0.3">
      <c r="A6" s="19">
        <v>34824</v>
      </c>
      <c r="B6" s="19">
        <v>11</v>
      </c>
      <c r="E6" s="4" t="s">
        <v>85</v>
      </c>
      <c r="F6" s="24">
        <v>0.60843785133479744</v>
      </c>
      <c r="G6" s="17" t="s">
        <v>109</v>
      </c>
      <c r="H6" s="40" t="s">
        <v>111</v>
      </c>
      <c r="I6" s="40"/>
      <c r="J6" s="40"/>
      <c r="K6" s="40"/>
      <c r="L6" s="40"/>
      <c r="M6" s="40"/>
      <c r="T6" s="4">
        <v>2.5252525252525255</v>
      </c>
      <c r="U6" s="4">
        <v>5</v>
      </c>
    </row>
    <row r="7" spans="1:21" x14ac:dyDescent="0.3">
      <c r="A7" s="19">
        <v>62499</v>
      </c>
      <c r="B7" s="19">
        <v>61</v>
      </c>
      <c r="E7" s="4" t="s">
        <v>86</v>
      </c>
      <c r="F7" s="4">
        <v>0.60440112815268199</v>
      </c>
      <c r="G7" s="17" t="s">
        <v>109</v>
      </c>
      <c r="T7" s="4">
        <v>3.5353535353535355</v>
      </c>
      <c r="U7" s="4">
        <v>7</v>
      </c>
    </row>
    <row r="8" spans="1:21" x14ac:dyDescent="0.3">
      <c r="A8" s="19">
        <v>64014</v>
      </c>
      <c r="B8" s="19">
        <v>30</v>
      </c>
      <c r="E8" s="4" t="s">
        <v>52</v>
      </c>
      <c r="F8" s="4">
        <v>140.41925003647799</v>
      </c>
      <c r="G8" s="17" t="s">
        <v>109</v>
      </c>
      <c r="T8" s="4">
        <v>4.5454545454545459</v>
      </c>
      <c r="U8" s="4">
        <v>7</v>
      </c>
    </row>
    <row r="9" spans="1:21" ht="15" thickBot="1" x14ac:dyDescent="0.35">
      <c r="A9" s="19">
        <v>19789</v>
      </c>
      <c r="B9" s="19">
        <v>9</v>
      </c>
      <c r="E9" s="5" t="s">
        <v>68</v>
      </c>
      <c r="F9" s="5">
        <v>99</v>
      </c>
      <c r="T9" s="4">
        <v>5.5555555555555562</v>
      </c>
      <c r="U9" s="4">
        <v>7</v>
      </c>
    </row>
    <row r="10" spans="1:21" x14ac:dyDescent="0.3">
      <c r="A10" s="19">
        <v>64108</v>
      </c>
      <c r="B10" s="19">
        <v>86</v>
      </c>
      <c r="T10" s="4">
        <v>6.5656565656565657</v>
      </c>
      <c r="U10" s="4">
        <v>8</v>
      </c>
    </row>
    <row r="11" spans="1:21" ht="15" thickBot="1" x14ac:dyDescent="0.35">
      <c r="A11" s="19">
        <v>82017</v>
      </c>
      <c r="B11" s="19">
        <v>446</v>
      </c>
      <c r="E11" t="s">
        <v>87</v>
      </c>
      <c r="T11" s="4">
        <v>7.5757575757575761</v>
      </c>
      <c r="U11" s="4">
        <v>8</v>
      </c>
    </row>
    <row r="12" spans="1:21" x14ac:dyDescent="0.3">
      <c r="A12" s="19">
        <v>33444</v>
      </c>
      <c r="B12" s="19">
        <v>8</v>
      </c>
      <c r="E12" s="6"/>
      <c r="F12" s="6" t="s">
        <v>91</v>
      </c>
      <c r="G12" s="6" t="s">
        <v>92</v>
      </c>
      <c r="H12" s="6" t="s">
        <v>93</v>
      </c>
      <c r="I12" s="6" t="s">
        <v>94</v>
      </c>
      <c r="J12" s="6" t="s">
        <v>95</v>
      </c>
      <c r="T12" s="4">
        <v>8.5858585858585865</v>
      </c>
      <c r="U12" s="4">
        <v>8</v>
      </c>
    </row>
    <row r="13" spans="1:21" x14ac:dyDescent="0.3">
      <c r="A13" s="19">
        <v>42767</v>
      </c>
      <c r="B13" s="19">
        <v>43</v>
      </c>
      <c r="E13" s="4" t="s">
        <v>88</v>
      </c>
      <c r="F13" s="4">
        <v>1</v>
      </c>
      <c r="G13" s="4">
        <v>2971943.5334031433</v>
      </c>
      <c r="H13" s="4">
        <v>2971943.5334031433</v>
      </c>
      <c r="I13" s="4">
        <v>150.72568117389181</v>
      </c>
      <c r="J13" s="22">
        <v>1.8339234595717621E-21</v>
      </c>
      <c r="K13" s="17" t="s">
        <v>109</v>
      </c>
      <c r="L13" s="41" t="s">
        <v>112</v>
      </c>
      <c r="M13" s="41"/>
      <c r="N13" s="41"/>
      <c r="O13" s="41"/>
      <c r="P13" s="41"/>
      <c r="Q13" s="15"/>
      <c r="T13" s="4">
        <v>9.5959595959595969</v>
      </c>
      <c r="U13" s="4">
        <v>9</v>
      </c>
    </row>
    <row r="14" spans="1:21" x14ac:dyDescent="0.3">
      <c r="A14" s="19">
        <v>85844</v>
      </c>
      <c r="B14" s="19">
        <v>843</v>
      </c>
      <c r="E14" s="4" t="s">
        <v>89</v>
      </c>
      <c r="F14" s="4">
        <v>97</v>
      </c>
      <c r="G14" s="4">
        <v>1912603.8807382714</v>
      </c>
      <c r="H14" s="4">
        <v>19717.565780806923</v>
      </c>
      <c r="I14" s="4"/>
      <c r="J14" s="4"/>
      <c r="L14" s="41" t="s">
        <v>113</v>
      </c>
      <c r="M14" s="41"/>
      <c r="N14" s="41"/>
      <c r="O14" s="41"/>
      <c r="P14" s="41"/>
      <c r="Q14" s="15"/>
      <c r="T14" s="4">
        <v>10.606060606060607</v>
      </c>
      <c r="U14" s="4">
        <v>9</v>
      </c>
    </row>
    <row r="15" spans="1:21" ht="15" thickBot="1" x14ac:dyDescent="0.35">
      <c r="A15" s="19">
        <v>34838</v>
      </c>
      <c r="B15" s="19">
        <v>29</v>
      </c>
      <c r="E15" s="5" t="s">
        <v>62</v>
      </c>
      <c r="F15" s="5">
        <v>98</v>
      </c>
      <c r="G15" s="5">
        <v>4884547.4141414147</v>
      </c>
      <c r="H15" s="5"/>
      <c r="I15" s="5"/>
      <c r="J15" s="5"/>
      <c r="T15" s="4">
        <v>11.616161616161618</v>
      </c>
      <c r="U15" s="4">
        <v>10</v>
      </c>
    </row>
    <row r="16" spans="1:21" ht="15" thickBot="1" x14ac:dyDescent="0.35">
      <c r="A16" s="19">
        <v>59821</v>
      </c>
      <c r="B16" s="19">
        <v>70</v>
      </c>
      <c r="T16" s="4">
        <v>12.626262626262626</v>
      </c>
      <c r="U16" s="4">
        <v>10</v>
      </c>
    </row>
    <row r="17" spans="1:21" x14ac:dyDescent="0.3">
      <c r="A17" s="19">
        <v>42557</v>
      </c>
      <c r="B17" s="19">
        <v>53</v>
      </c>
      <c r="E17" s="6"/>
      <c r="F17" s="6" t="s">
        <v>96</v>
      </c>
      <c r="G17" s="6" t="s">
        <v>52</v>
      </c>
      <c r="H17" s="6" t="s">
        <v>97</v>
      </c>
      <c r="I17" s="6" t="s">
        <v>98</v>
      </c>
      <c r="J17" s="6" t="s">
        <v>99</v>
      </c>
      <c r="K17" s="6" t="s">
        <v>100</v>
      </c>
      <c r="L17" s="6" t="s">
        <v>101</v>
      </c>
      <c r="M17" s="6" t="s">
        <v>102</v>
      </c>
      <c r="T17" s="4">
        <v>13.636363636363637</v>
      </c>
      <c r="U17" s="4">
        <v>10</v>
      </c>
    </row>
    <row r="18" spans="1:21" x14ac:dyDescent="0.3">
      <c r="A18" s="19">
        <v>45207</v>
      </c>
      <c r="B18" s="19">
        <v>10</v>
      </c>
      <c r="E18" s="4" t="s">
        <v>90</v>
      </c>
      <c r="F18" s="4">
        <v>-307.9750223688045</v>
      </c>
      <c r="G18" s="4">
        <v>42.054026842318898</v>
      </c>
      <c r="H18" s="4">
        <v>-7.323318252579079</v>
      </c>
      <c r="I18" s="4">
        <v>7.1393797159489779E-11</v>
      </c>
      <c r="J18" s="4">
        <v>-391.44062450800925</v>
      </c>
      <c r="K18" s="4">
        <v>-224.50942022959975</v>
      </c>
      <c r="L18" s="4">
        <v>-391.44062450800925</v>
      </c>
      <c r="M18" s="4">
        <v>-224.50942022959975</v>
      </c>
      <c r="T18" s="4">
        <v>14.646464646464647</v>
      </c>
      <c r="U18" s="4">
        <v>11</v>
      </c>
    </row>
    <row r="19" spans="1:21" ht="15" thickBot="1" x14ac:dyDescent="0.35">
      <c r="A19" s="19">
        <v>35544</v>
      </c>
      <c r="B19" s="19">
        <v>23</v>
      </c>
      <c r="E19" s="5" t="s">
        <v>103</v>
      </c>
      <c r="F19" s="25">
        <v>9.0301516657486352E-3</v>
      </c>
      <c r="G19" s="5">
        <v>7.3553173762143853E-4</v>
      </c>
      <c r="H19" s="5">
        <v>12.277038778707668</v>
      </c>
      <c r="I19" s="5">
        <v>1.8339234595717489E-21</v>
      </c>
      <c r="J19" s="5">
        <v>7.5703247720422121E-3</v>
      </c>
      <c r="K19" s="5">
        <v>1.0489978559455059E-2</v>
      </c>
      <c r="L19" s="5">
        <v>7.5703247720422121E-3</v>
      </c>
      <c r="M19" s="5">
        <v>1.0489978559455059E-2</v>
      </c>
      <c r="T19" s="4">
        <v>15.656565656565657</v>
      </c>
      <c r="U19" s="4">
        <v>14</v>
      </c>
    </row>
    <row r="20" spans="1:21" x14ac:dyDescent="0.3">
      <c r="A20" s="19">
        <v>49544</v>
      </c>
      <c r="B20" s="19">
        <v>73</v>
      </c>
      <c r="T20" s="4">
        <v>16.666666666666668</v>
      </c>
      <c r="U20" s="4">
        <v>14</v>
      </c>
    </row>
    <row r="21" spans="1:21" x14ac:dyDescent="0.3">
      <c r="A21" s="19">
        <v>71107</v>
      </c>
      <c r="B21" s="19">
        <v>217</v>
      </c>
      <c r="E21" t="s">
        <v>109</v>
      </c>
      <c r="F21" s="38" t="s">
        <v>114</v>
      </c>
      <c r="G21" s="38"/>
      <c r="H21" s="38"/>
      <c r="I21" s="38"/>
      <c r="J21" s="38"/>
      <c r="K21" s="38"/>
      <c r="L21" s="38"/>
      <c r="M21" s="38"/>
      <c r="T21" s="4">
        <v>17.676767676767678</v>
      </c>
      <c r="U21" s="4">
        <v>15</v>
      </c>
    </row>
    <row r="22" spans="1:21" x14ac:dyDescent="0.3">
      <c r="A22" s="19">
        <v>31859</v>
      </c>
      <c r="B22" s="19">
        <v>7</v>
      </c>
      <c r="T22" s="4">
        <v>18.686868686868689</v>
      </c>
      <c r="U22" s="4">
        <v>16</v>
      </c>
    </row>
    <row r="23" spans="1:21" x14ac:dyDescent="0.3">
      <c r="A23" s="19">
        <v>62637</v>
      </c>
      <c r="B23" s="19">
        <v>48</v>
      </c>
      <c r="T23" s="4">
        <v>19.696969696969699</v>
      </c>
      <c r="U23" s="4">
        <v>17</v>
      </c>
    </row>
    <row r="24" spans="1:21" x14ac:dyDescent="0.3">
      <c r="A24" s="19">
        <v>52190</v>
      </c>
      <c r="B24" s="19">
        <v>17</v>
      </c>
      <c r="T24" s="4">
        <v>20.707070707070709</v>
      </c>
      <c r="U24" s="4">
        <v>17</v>
      </c>
    </row>
    <row r="25" spans="1:21" x14ac:dyDescent="0.3">
      <c r="A25" s="19">
        <v>87305</v>
      </c>
      <c r="B25" s="19">
        <v>501</v>
      </c>
      <c r="T25" s="4">
        <v>21.71717171717172</v>
      </c>
      <c r="U25" s="4">
        <v>17</v>
      </c>
    </row>
    <row r="26" spans="1:21" x14ac:dyDescent="0.3">
      <c r="A26" s="19">
        <v>78075</v>
      </c>
      <c r="B26" s="19">
        <v>259</v>
      </c>
      <c r="T26" s="4">
        <v>22.72727272727273</v>
      </c>
      <c r="U26" s="4">
        <v>18</v>
      </c>
    </row>
    <row r="27" spans="1:21" x14ac:dyDescent="0.3">
      <c r="A27" s="19">
        <v>50523</v>
      </c>
      <c r="B27" s="19">
        <v>24</v>
      </c>
      <c r="T27" s="4">
        <v>23.737373737373741</v>
      </c>
      <c r="U27" s="4">
        <v>20</v>
      </c>
    </row>
    <row r="28" spans="1:21" x14ac:dyDescent="0.3">
      <c r="A28" s="19">
        <v>11012</v>
      </c>
      <c r="B28" s="19">
        <v>26</v>
      </c>
      <c r="T28" s="4">
        <v>24.747474747474747</v>
      </c>
      <c r="U28" s="4">
        <v>21</v>
      </c>
    </row>
    <row r="29" spans="1:21" x14ac:dyDescent="0.3">
      <c r="A29" s="19">
        <v>63943</v>
      </c>
      <c r="B29" s="19">
        <v>368</v>
      </c>
      <c r="T29" s="4">
        <v>25.757575757575758</v>
      </c>
      <c r="U29" s="4">
        <v>23</v>
      </c>
    </row>
    <row r="30" spans="1:21" x14ac:dyDescent="0.3">
      <c r="A30" s="19">
        <v>55686</v>
      </c>
      <c r="B30" s="19">
        <v>199</v>
      </c>
      <c r="T30" s="4">
        <v>26.767676767676768</v>
      </c>
      <c r="U30" s="4">
        <v>23</v>
      </c>
    </row>
    <row r="31" spans="1:21" x14ac:dyDescent="0.3">
      <c r="A31" s="19">
        <v>90687</v>
      </c>
      <c r="B31" s="19">
        <v>672</v>
      </c>
      <c r="T31" s="4">
        <v>27.777777777777779</v>
      </c>
      <c r="U31" s="4">
        <v>24</v>
      </c>
    </row>
    <row r="32" spans="1:21" x14ac:dyDescent="0.3">
      <c r="A32" s="19">
        <v>70924</v>
      </c>
      <c r="B32" s="19">
        <v>254</v>
      </c>
      <c r="T32" s="4">
        <v>28.787878787878789</v>
      </c>
      <c r="U32" s="4">
        <v>24</v>
      </c>
    </row>
    <row r="33" spans="1:21" x14ac:dyDescent="0.3">
      <c r="A33" s="19">
        <v>74716</v>
      </c>
      <c r="B33" s="19">
        <v>421</v>
      </c>
      <c r="T33" s="4">
        <v>29.797979797979799</v>
      </c>
      <c r="U33" s="4">
        <v>26</v>
      </c>
    </row>
    <row r="34" spans="1:21" x14ac:dyDescent="0.3">
      <c r="A34" s="19">
        <v>33316</v>
      </c>
      <c r="B34" s="19">
        <v>31</v>
      </c>
      <c r="T34" s="4">
        <v>30.80808080808081</v>
      </c>
      <c r="U34" s="4">
        <v>27</v>
      </c>
    </row>
    <row r="35" spans="1:21" x14ac:dyDescent="0.3">
      <c r="A35" s="19">
        <v>70643</v>
      </c>
      <c r="B35" s="19">
        <v>304</v>
      </c>
      <c r="T35" s="4">
        <v>31.81818181818182</v>
      </c>
      <c r="U35" s="4">
        <v>27</v>
      </c>
    </row>
    <row r="36" spans="1:21" x14ac:dyDescent="0.3">
      <c r="A36" s="19">
        <v>70792</v>
      </c>
      <c r="B36" s="19">
        <v>654</v>
      </c>
      <c r="T36" s="4">
        <v>32.828282828282831</v>
      </c>
      <c r="U36" s="4">
        <v>28</v>
      </c>
    </row>
    <row r="37" spans="1:21" x14ac:dyDescent="0.3">
      <c r="A37" s="19">
        <v>34074</v>
      </c>
      <c r="B37" s="19">
        <v>41</v>
      </c>
      <c r="T37" s="4">
        <v>33.838383838383841</v>
      </c>
      <c r="U37" s="4">
        <v>29</v>
      </c>
    </row>
    <row r="38" spans="1:21" x14ac:dyDescent="0.3">
      <c r="A38" s="19">
        <v>54414</v>
      </c>
      <c r="B38" s="19">
        <v>16</v>
      </c>
      <c r="T38" s="4">
        <v>34.848484848484851</v>
      </c>
      <c r="U38" s="4">
        <v>30</v>
      </c>
    </row>
    <row r="39" spans="1:21" x14ac:dyDescent="0.3">
      <c r="A39" s="19">
        <v>69063</v>
      </c>
      <c r="B39" s="19">
        <v>124</v>
      </c>
      <c r="T39" s="4">
        <v>35.858585858585862</v>
      </c>
      <c r="U39" s="4">
        <v>30</v>
      </c>
    </row>
    <row r="40" spans="1:21" x14ac:dyDescent="0.3">
      <c r="A40" s="19">
        <v>71819</v>
      </c>
      <c r="B40" s="19">
        <v>140</v>
      </c>
      <c r="T40" s="4">
        <v>36.868686868686872</v>
      </c>
      <c r="U40" s="4">
        <v>31</v>
      </c>
    </row>
    <row r="41" spans="1:21" x14ac:dyDescent="0.3">
      <c r="A41" s="19">
        <v>61010</v>
      </c>
      <c r="B41" s="19">
        <v>57</v>
      </c>
      <c r="T41" s="4">
        <v>37.878787878787882</v>
      </c>
      <c r="U41" s="4">
        <v>31</v>
      </c>
    </row>
    <row r="42" spans="1:21" x14ac:dyDescent="0.3">
      <c r="A42" s="19">
        <v>33456</v>
      </c>
      <c r="B42" s="19">
        <v>10</v>
      </c>
      <c r="T42" s="4">
        <v>38.888888888888893</v>
      </c>
      <c r="U42" s="4">
        <v>35</v>
      </c>
    </row>
    <row r="43" spans="1:21" x14ac:dyDescent="0.3">
      <c r="A43" s="19">
        <v>54730</v>
      </c>
      <c r="B43" s="19">
        <v>17</v>
      </c>
      <c r="T43" s="4">
        <v>39.898989898989903</v>
      </c>
      <c r="U43" s="4">
        <v>41</v>
      </c>
    </row>
    <row r="44" spans="1:21" x14ac:dyDescent="0.3">
      <c r="A44" s="19">
        <v>29938</v>
      </c>
      <c r="B44" s="19">
        <v>7</v>
      </c>
      <c r="T44" s="4">
        <v>40.909090909090914</v>
      </c>
      <c r="U44" s="4">
        <v>43</v>
      </c>
    </row>
    <row r="45" spans="1:21" x14ac:dyDescent="0.3">
      <c r="A45" s="19">
        <v>38097</v>
      </c>
      <c r="B45" s="19">
        <v>35</v>
      </c>
      <c r="T45" s="4">
        <v>41.919191919191924</v>
      </c>
      <c r="U45" s="4">
        <v>48</v>
      </c>
    </row>
    <row r="46" spans="1:21" x14ac:dyDescent="0.3">
      <c r="A46" s="19">
        <v>65846</v>
      </c>
      <c r="B46" s="19">
        <v>276</v>
      </c>
      <c r="T46" s="4">
        <v>42.929292929292934</v>
      </c>
      <c r="U46" s="4">
        <v>50</v>
      </c>
    </row>
    <row r="47" spans="1:21" x14ac:dyDescent="0.3">
      <c r="A47" s="19">
        <v>34213</v>
      </c>
      <c r="B47" s="19">
        <v>28</v>
      </c>
      <c r="T47" s="4">
        <v>43.939393939393945</v>
      </c>
      <c r="U47" s="4">
        <v>50</v>
      </c>
    </row>
    <row r="48" spans="1:21" x14ac:dyDescent="0.3">
      <c r="A48" s="19">
        <v>49669</v>
      </c>
      <c r="B48" s="19">
        <v>107</v>
      </c>
      <c r="T48" s="4">
        <v>44.949494949494955</v>
      </c>
      <c r="U48" s="4">
        <v>51</v>
      </c>
    </row>
    <row r="49" spans="1:21" x14ac:dyDescent="0.3">
      <c r="A49" s="19">
        <v>66303</v>
      </c>
      <c r="B49" s="19">
        <v>96</v>
      </c>
      <c r="T49" s="4">
        <v>45.959595959595966</v>
      </c>
      <c r="U49" s="4">
        <v>53</v>
      </c>
    </row>
    <row r="50" spans="1:21" x14ac:dyDescent="0.3">
      <c r="A50" s="19">
        <v>25271</v>
      </c>
      <c r="B50" s="19">
        <v>18</v>
      </c>
      <c r="T50" s="4">
        <v>46.969696969696976</v>
      </c>
      <c r="U50" s="4">
        <v>57</v>
      </c>
    </row>
    <row r="51" spans="1:21" x14ac:dyDescent="0.3">
      <c r="A51" s="19">
        <v>24645</v>
      </c>
      <c r="B51" s="19">
        <v>4</v>
      </c>
      <c r="T51" s="4">
        <v>47.979797979797986</v>
      </c>
      <c r="U51" s="4">
        <v>57</v>
      </c>
    </row>
    <row r="52" spans="1:21" x14ac:dyDescent="0.3">
      <c r="A52" s="19">
        <v>30351</v>
      </c>
      <c r="B52" s="19">
        <v>24</v>
      </c>
      <c r="T52" s="4">
        <v>48.98989898989899</v>
      </c>
      <c r="U52" s="4">
        <v>61</v>
      </c>
    </row>
    <row r="53" spans="1:21" x14ac:dyDescent="0.3">
      <c r="A53" s="19">
        <v>72354</v>
      </c>
      <c r="B53" s="19">
        <v>473</v>
      </c>
      <c r="T53" s="4">
        <v>50</v>
      </c>
      <c r="U53" s="4">
        <v>61</v>
      </c>
    </row>
    <row r="54" spans="1:21" x14ac:dyDescent="0.3">
      <c r="A54" s="19">
        <v>41473</v>
      </c>
      <c r="B54" s="19">
        <v>20</v>
      </c>
      <c r="T54" s="4">
        <v>51.01010101010101</v>
      </c>
      <c r="U54" s="4">
        <v>65</v>
      </c>
    </row>
    <row r="55" spans="1:21" x14ac:dyDescent="0.3">
      <c r="A55" s="19">
        <v>61223</v>
      </c>
      <c r="B55" s="19">
        <v>182</v>
      </c>
      <c r="T55" s="4">
        <v>52.020202020202021</v>
      </c>
      <c r="U55" s="4">
        <v>68</v>
      </c>
    </row>
    <row r="56" spans="1:21" x14ac:dyDescent="0.3">
      <c r="A56" s="19">
        <v>77870</v>
      </c>
      <c r="B56" s="19">
        <v>500</v>
      </c>
      <c r="T56" s="4">
        <v>53.030303030303031</v>
      </c>
      <c r="U56" s="4">
        <v>70</v>
      </c>
    </row>
    <row r="57" spans="1:21" x14ac:dyDescent="0.3">
      <c r="A57" s="19">
        <v>72679</v>
      </c>
      <c r="B57" s="19">
        <v>260</v>
      </c>
      <c r="T57" s="4">
        <v>54.040404040404042</v>
      </c>
      <c r="U57" s="4">
        <v>73</v>
      </c>
    </row>
    <row r="58" spans="1:21" x14ac:dyDescent="0.3">
      <c r="A58" s="19">
        <v>53253</v>
      </c>
      <c r="B58" s="19">
        <v>57</v>
      </c>
      <c r="T58" s="4">
        <v>55.050505050505052</v>
      </c>
      <c r="U58" s="4">
        <v>86</v>
      </c>
    </row>
    <row r="59" spans="1:21" x14ac:dyDescent="0.3">
      <c r="A59" s="19">
        <v>44689</v>
      </c>
      <c r="B59" s="19">
        <v>5</v>
      </c>
      <c r="T59" s="4">
        <v>56.060606060606062</v>
      </c>
      <c r="U59" s="4">
        <v>87</v>
      </c>
    </row>
    <row r="60" spans="1:21" x14ac:dyDescent="0.3">
      <c r="A60" s="19">
        <v>56253</v>
      </c>
      <c r="B60" s="19">
        <v>65</v>
      </c>
      <c r="T60" s="4">
        <v>57.070707070707073</v>
      </c>
      <c r="U60" s="4">
        <v>92</v>
      </c>
    </row>
    <row r="61" spans="1:21" x14ac:dyDescent="0.3">
      <c r="A61" s="19">
        <v>48432</v>
      </c>
      <c r="B61" s="19">
        <v>50</v>
      </c>
      <c r="T61" s="4">
        <v>58.080808080808083</v>
      </c>
      <c r="U61" s="4">
        <v>92</v>
      </c>
    </row>
    <row r="62" spans="1:21" x14ac:dyDescent="0.3">
      <c r="A62" s="19">
        <v>48432</v>
      </c>
      <c r="B62" s="19">
        <v>50</v>
      </c>
      <c r="T62" s="4">
        <v>59.090909090909093</v>
      </c>
      <c r="U62" s="4">
        <v>96</v>
      </c>
    </row>
    <row r="63" spans="1:21" x14ac:dyDescent="0.3">
      <c r="A63" s="19">
        <v>30899</v>
      </c>
      <c r="B63" s="19">
        <v>8</v>
      </c>
      <c r="T63" s="4">
        <v>60.101010101010104</v>
      </c>
      <c r="U63" s="4">
        <v>107</v>
      </c>
    </row>
    <row r="64" spans="1:21" x14ac:dyDescent="0.3">
      <c r="A64" s="19">
        <v>61787</v>
      </c>
      <c r="B64" s="19">
        <v>414</v>
      </c>
      <c r="T64" s="4">
        <v>61.111111111111114</v>
      </c>
      <c r="U64" s="4">
        <v>124</v>
      </c>
    </row>
    <row r="65" spans="1:21" x14ac:dyDescent="0.3">
      <c r="A65" s="19">
        <v>88347</v>
      </c>
      <c r="B65" s="19">
        <v>555</v>
      </c>
      <c r="T65" s="4">
        <v>62.121212121212125</v>
      </c>
      <c r="U65" s="4">
        <v>131</v>
      </c>
    </row>
    <row r="66" spans="1:21" x14ac:dyDescent="0.3">
      <c r="A66" s="19">
        <v>33051</v>
      </c>
      <c r="B66" s="19">
        <v>243</v>
      </c>
      <c r="T66" s="4">
        <v>63.131313131313135</v>
      </c>
      <c r="U66" s="4">
        <v>140</v>
      </c>
    </row>
    <row r="67" spans="1:21" x14ac:dyDescent="0.3">
      <c r="A67" s="19">
        <v>7500</v>
      </c>
      <c r="B67" s="19">
        <v>4</v>
      </c>
      <c r="T67" s="4">
        <v>64.141414141414145</v>
      </c>
      <c r="U67" s="4">
        <v>141</v>
      </c>
    </row>
    <row r="68" spans="1:21" x14ac:dyDescent="0.3">
      <c r="A68" s="19">
        <v>33316</v>
      </c>
      <c r="B68" s="19">
        <v>31</v>
      </c>
      <c r="T68" s="4">
        <v>65.151515151515156</v>
      </c>
      <c r="U68" s="4">
        <v>168</v>
      </c>
    </row>
    <row r="69" spans="1:21" x14ac:dyDescent="0.3">
      <c r="A69" s="19">
        <v>40321</v>
      </c>
      <c r="B69" s="19">
        <v>21</v>
      </c>
      <c r="T69" s="4">
        <v>66.161616161616166</v>
      </c>
      <c r="U69" s="4">
        <v>182</v>
      </c>
    </row>
    <row r="70" spans="1:21" x14ac:dyDescent="0.3">
      <c r="A70" s="19">
        <v>40689</v>
      </c>
      <c r="B70" s="19">
        <v>27</v>
      </c>
      <c r="T70" s="4">
        <v>67.171717171717177</v>
      </c>
      <c r="U70" s="4">
        <v>199</v>
      </c>
    </row>
    <row r="71" spans="1:21" x14ac:dyDescent="0.3">
      <c r="A71" s="19">
        <v>54984</v>
      </c>
      <c r="B71" s="19">
        <v>131</v>
      </c>
      <c r="T71" s="4">
        <v>68.181818181818187</v>
      </c>
      <c r="U71" s="4">
        <v>206</v>
      </c>
    </row>
    <row r="72" spans="1:21" x14ac:dyDescent="0.3">
      <c r="A72" s="19">
        <v>43641</v>
      </c>
      <c r="B72" s="19">
        <v>51</v>
      </c>
      <c r="T72" s="4">
        <v>69.191919191919197</v>
      </c>
      <c r="U72" s="4">
        <v>217</v>
      </c>
    </row>
    <row r="73" spans="1:21" x14ac:dyDescent="0.3">
      <c r="A73" s="19">
        <v>70038</v>
      </c>
      <c r="B73" s="19">
        <v>348</v>
      </c>
      <c r="T73" s="4">
        <v>70.202020202020208</v>
      </c>
      <c r="U73" s="4">
        <v>243</v>
      </c>
    </row>
    <row r="74" spans="1:21" x14ac:dyDescent="0.3">
      <c r="A74" s="19">
        <v>74068</v>
      </c>
      <c r="B74" s="19">
        <v>537</v>
      </c>
      <c r="T74" s="4">
        <v>71.212121212121218</v>
      </c>
      <c r="U74" s="4">
        <v>253</v>
      </c>
    </row>
    <row r="75" spans="1:21" x14ac:dyDescent="0.3">
      <c r="A75" s="19">
        <v>71706</v>
      </c>
      <c r="B75" s="19">
        <v>253</v>
      </c>
      <c r="T75" s="4">
        <v>72.222222222222229</v>
      </c>
      <c r="U75" s="4">
        <v>254</v>
      </c>
    </row>
    <row r="76" spans="1:21" x14ac:dyDescent="0.3">
      <c r="A76" s="19">
        <v>48948</v>
      </c>
      <c r="B76" s="19">
        <v>206</v>
      </c>
      <c r="T76" s="4">
        <v>73.232323232323239</v>
      </c>
      <c r="U76" s="4">
        <v>259</v>
      </c>
    </row>
    <row r="77" spans="1:21" x14ac:dyDescent="0.3">
      <c r="A77" s="19">
        <v>37758</v>
      </c>
      <c r="B77" s="19">
        <v>10</v>
      </c>
      <c r="T77" s="4">
        <v>74.242424242424249</v>
      </c>
      <c r="U77" s="4">
        <v>260</v>
      </c>
    </row>
    <row r="78" spans="1:21" x14ac:dyDescent="0.3">
      <c r="A78" s="19">
        <v>50437</v>
      </c>
      <c r="B78" s="19">
        <v>92</v>
      </c>
      <c r="T78" s="4">
        <v>75.25252525252526</v>
      </c>
      <c r="U78" s="4">
        <v>276</v>
      </c>
    </row>
    <row r="79" spans="1:21" x14ac:dyDescent="0.3">
      <c r="A79" s="19">
        <v>65316</v>
      </c>
      <c r="B79" s="19">
        <v>92</v>
      </c>
      <c r="T79" s="4">
        <v>76.26262626262627</v>
      </c>
      <c r="U79" s="4">
        <v>278</v>
      </c>
    </row>
    <row r="80" spans="1:21" x14ac:dyDescent="0.3">
      <c r="A80" s="19">
        <v>80067</v>
      </c>
      <c r="B80" s="19">
        <v>813</v>
      </c>
      <c r="T80" s="4">
        <v>77.27272727272728</v>
      </c>
      <c r="U80" s="4">
        <v>292</v>
      </c>
    </row>
    <row r="81" spans="1:21" x14ac:dyDescent="0.3">
      <c r="A81" s="19">
        <v>32644</v>
      </c>
      <c r="B81" s="19">
        <v>141</v>
      </c>
      <c r="T81" s="4">
        <v>78.282828282828291</v>
      </c>
      <c r="U81" s="4">
        <v>304</v>
      </c>
    </row>
    <row r="82" spans="1:21" x14ac:dyDescent="0.3">
      <c r="A82" s="19">
        <v>66664</v>
      </c>
      <c r="B82" s="19">
        <v>447</v>
      </c>
      <c r="T82" s="4">
        <v>79.292929292929301</v>
      </c>
      <c r="U82" s="4">
        <v>348</v>
      </c>
    </row>
    <row r="83" spans="1:21" x14ac:dyDescent="0.3">
      <c r="A83" s="19">
        <v>30992</v>
      </c>
      <c r="B83" s="19">
        <v>14</v>
      </c>
      <c r="T83" s="4">
        <v>80.303030303030312</v>
      </c>
      <c r="U83" s="4">
        <v>368</v>
      </c>
    </row>
    <row r="84" spans="1:21" x14ac:dyDescent="0.3">
      <c r="A84" s="19">
        <v>55158</v>
      </c>
      <c r="B84" s="19">
        <v>87</v>
      </c>
      <c r="T84" s="4">
        <v>81.313131313131322</v>
      </c>
      <c r="U84" s="4">
        <v>369</v>
      </c>
    </row>
    <row r="85" spans="1:21" x14ac:dyDescent="0.3">
      <c r="A85" s="19">
        <v>70321</v>
      </c>
      <c r="B85" s="19">
        <v>751</v>
      </c>
      <c r="T85" s="4">
        <v>82.323232323232332</v>
      </c>
      <c r="U85" s="4">
        <v>396</v>
      </c>
    </row>
    <row r="86" spans="1:21" x14ac:dyDescent="0.3">
      <c r="A86" s="19">
        <v>44794</v>
      </c>
      <c r="B86" s="19">
        <v>7</v>
      </c>
      <c r="T86" s="4">
        <v>83.333333333333343</v>
      </c>
      <c r="U86" s="4">
        <v>414</v>
      </c>
    </row>
    <row r="87" spans="1:21" x14ac:dyDescent="0.3">
      <c r="A87" s="19">
        <v>43263</v>
      </c>
      <c r="B87" s="19">
        <v>61</v>
      </c>
      <c r="T87" s="4">
        <v>84.343434343434353</v>
      </c>
      <c r="U87" s="4">
        <v>421</v>
      </c>
    </row>
    <row r="88" spans="1:21" x14ac:dyDescent="0.3">
      <c r="A88" s="19">
        <v>77568</v>
      </c>
      <c r="B88" s="19">
        <v>396</v>
      </c>
      <c r="T88" s="4">
        <v>85.353535353535364</v>
      </c>
      <c r="U88" s="4">
        <v>446</v>
      </c>
    </row>
    <row r="89" spans="1:21" x14ac:dyDescent="0.3">
      <c r="A89" s="19">
        <v>38643</v>
      </c>
      <c r="B89" s="19">
        <v>14</v>
      </c>
      <c r="T89" s="4">
        <v>86.363636363636374</v>
      </c>
      <c r="U89" s="4">
        <v>447</v>
      </c>
    </row>
    <row r="90" spans="1:21" x14ac:dyDescent="0.3">
      <c r="A90" s="19">
        <v>36038</v>
      </c>
      <c r="B90" s="19">
        <v>15</v>
      </c>
      <c r="T90" s="4">
        <v>87.373737373737384</v>
      </c>
      <c r="U90" s="4">
        <v>473</v>
      </c>
    </row>
    <row r="91" spans="1:21" x14ac:dyDescent="0.3">
      <c r="A91" s="19">
        <v>64590</v>
      </c>
      <c r="B91" s="19">
        <v>168</v>
      </c>
      <c r="T91" s="4">
        <v>88.383838383838395</v>
      </c>
      <c r="U91" s="4">
        <v>500</v>
      </c>
    </row>
    <row r="92" spans="1:21" x14ac:dyDescent="0.3">
      <c r="A92" s="19">
        <v>46931</v>
      </c>
      <c r="B92" s="19">
        <v>17</v>
      </c>
      <c r="T92" s="4">
        <v>89.393939393939405</v>
      </c>
      <c r="U92" s="4">
        <v>501</v>
      </c>
    </row>
    <row r="93" spans="1:21" x14ac:dyDescent="0.3">
      <c r="A93" s="19">
        <v>40689</v>
      </c>
      <c r="B93" s="19">
        <v>27</v>
      </c>
      <c r="T93" s="4">
        <v>90.404040404040416</v>
      </c>
      <c r="U93" s="4">
        <v>537</v>
      </c>
    </row>
    <row r="94" spans="1:21" x14ac:dyDescent="0.3">
      <c r="A94" s="19">
        <v>61482</v>
      </c>
      <c r="B94" s="19">
        <v>68</v>
      </c>
      <c r="T94" s="4">
        <v>91.414141414141426</v>
      </c>
      <c r="U94" s="4">
        <v>554</v>
      </c>
    </row>
    <row r="95" spans="1:21" x14ac:dyDescent="0.3">
      <c r="A95" s="19">
        <v>80910</v>
      </c>
      <c r="B95" s="19">
        <v>369</v>
      </c>
      <c r="T95" s="4">
        <v>92.424242424242436</v>
      </c>
      <c r="U95" s="4">
        <v>555</v>
      </c>
    </row>
    <row r="96" spans="1:21" x14ac:dyDescent="0.3">
      <c r="A96" s="19">
        <v>36273</v>
      </c>
      <c r="B96" s="19">
        <v>30</v>
      </c>
      <c r="T96" s="4">
        <v>93.434343434343447</v>
      </c>
      <c r="U96" s="4">
        <v>654</v>
      </c>
    </row>
    <row r="97" spans="1:21" x14ac:dyDescent="0.3">
      <c r="A97" s="19">
        <v>94642</v>
      </c>
      <c r="B97" s="19">
        <v>797</v>
      </c>
      <c r="T97" s="4">
        <v>94.444444444444457</v>
      </c>
      <c r="U97" s="4">
        <v>672</v>
      </c>
    </row>
    <row r="98" spans="1:21" x14ac:dyDescent="0.3">
      <c r="A98" s="19">
        <v>92910</v>
      </c>
      <c r="B98" s="19">
        <v>792</v>
      </c>
      <c r="T98" s="4">
        <v>95.454545454545467</v>
      </c>
      <c r="U98" s="4">
        <v>751</v>
      </c>
    </row>
    <row r="99" spans="1:21" x14ac:dyDescent="0.3">
      <c r="A99" s="19">
        <v>77298</v>
      </c>
      <c r="B99" s="19">
        <v>292</v>
      </c>
      <c r="T99" s="4">
        <v>96.464646464646478</v>
      </c>
      <c r="U99" s="4">
        <v>792</v>
      </c>
    </row>
    <row r="100" spans="1:21" x14ac:dyDescent="0.3">
      <c r="A100" s="19">
        <v>44300</v>
      </c>
      <c r="B100" s="19">
        <v>9</v>
      </c>
      <c r="T100" s="4">
        <v>97.474747474747474</v>
      </c>
      <c r="U100" s="4">
        <v>797</v>
      </c>
    </row>
    <row r="101" spans="1:21" x14ac:dyDescent="0.3">
      <c r="T101" s="4">
        <v>98.484848484848484</v>
      </c>
      <c r="U101" s="4">
        <v>813</v>
      </c>
    </row>
    <row r="102" spans="1:21" ht="15" thickBot="1" x14ac:dyDescent="0.35">
      <c r="T102" s="5">
        <v>99.494949494949495</v>
      </c>
      <c r="U102" s="5">
        <v>843</v>
      </c>
    </row>
  </sheetData>
  <sortState xmlns:xlrd2="http://schemas.microsoft.com/office/spreadsheetml/2017/richdata2" ref="U4:U102">
    <sortCondition ref="U4"/>
  </sortState>
  <mergeCells count="5">
    <mergeCell ref="F21:M21"/>
    <mergeCell ref="H5:M5"/>
    <mergeCell ref="H6:M6"/>
    <mergeCell ref="L13:P13"/>
    <mergeCell ref="L14:P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04AA-7CF0-4BDD-AAEE-930AC27F737E}">
  <dimension ref="A1:E100"/>
  <sheetViews>
    <sheetView workbookViewId="0">
      <selection activeCell="D14" sqref="D14"/>
    </sheetView>
  </sheetViews>
  <sheetFormatPr defaultRowHeight="14.4" x14ac:dyDescent="0.3"/>
  <cols>
    <col min="1" max="1" width="7.33203125" style="1" bestFit="1" customWidth="1"/>
    <col min="2" max="2" width="11" style="1" bestFit="1" customWidth="1"/>
    <col min="3" max="3" width="8.88671875" style="1"/>
    <col min="4" max="4" width="18.109375" style="1" bestFit="1" customWidth="1"/>
    <col min="5" max="5" width="9" style="1" bestFit="1" customWidth="1"/>
    <col min="6" max="16384" width="8.88671875" style="1"/>
  </cols>
  <sheetData>
    <row r="1" spans="1:5" x14ac:dyDescent="0.3">
      <c r="A1" s="3" t="s">
        <v>4</v>
      </c>
      <c r="B1" s="3" t="s">
        <v>39</v>
      </c>
    </row>
    <row r="2" spans="1:5" x14ac:dyDescent="0.3">
      <c r="A2" s="1">
        <v>46891</v>
      </c>
      <c r="B2" s="36" t="b">
        <f>AND(A2&lt;$E$6,A2&gt;$E$7)</f>
        <v>0</v>
      </c>
      <c r="D2" s="3" t="s">
        <v>40</v>
      </c>
      <c r="E2" s="3" t="s">
        <v>41</v>
      </c>
    </row>
    <row r="3" spans="1:5" x14ac:dyDescent="0.3">
      <c r="A3" s="1">
        <v>70951</v>
      </c>
      <c r="B3" s="36" t="b">
        <f t="shared" ref="B3:B66" si="0">AND(A3&lt;$E$6,A3&gt;$E$7)</f>
        <v>0</v>
      </c>
      <c r="D3" s="3" t="s">
        <v>42</v>
      </c>
      <c r="E3" s="1">
        <v>37758</v>
      </c>
    </row>
    <row r="4" spans="1:5" x14ac:dyDescent="0.3">
      <c r="A4" s="1">
        <v>71022</v>
      </c>
      <c r="B4" s="36" t="b">
        <f t="shared" si="0"/>
        <v>0</v>
      </c>
      <c r="D4" s="3" t="s">
        <v>43</v>
      </c>
      <c r="E4" s="1">
        <v>70643</v>
      </c>
    </row>
    <row r="5" spans="1:5" x14ac:dyDescent="0.3">
      <c r="A5" s="1">
        <v>22448</v>
      </c>
      <c r="B5" s="36" t="b">
        <f t="shared" si="0"/>
        <v>0</v>
      </c>
      <c r="D5" s="3" t="s">
        <v>44</v>
      </c>
      <c r="E5" s="1">
        <v>32885</v>
      </c>
    </row>
    <row r="6" spans="1:5" x14ac:dyDescent="0.3">
      <c r="A6" s="1">
        <v>34824</v>
      </c>
      <c r="B6" s="36" t="b">
        <f t="shared" si="0"/>
        <v>0</v>
      </c>
      <c r="D6" s="3" t="s">
        <v>45</v>
      </c>
      <c r="E6" s="1">
        <v>-11569.5</v>
      </c>
    </row>
    <row r="7" spans="1:5" x14ac:dyDescent="0.3">
      <c r="A7" s="1">
        <v>62499</v>
      </c>
      <c r="B7" s="36" t="b">
        <f t="shared" si="0"/>
        <v>0</v>
      </c>
      <c r="D7" s="3" t="s">
        <v>46</v>
      </c>
      <c r="E7" s="1">
        <v>119970.5</v>
      </c>
    </row>
    <row r="8" spans="1:5" x14ac:dyDescent="0.3">
      <c r="A8" s="1">
        <v>64014</v>
      </c>
      <c r="B8" s="36" t="b">
        <f t="shared" si="0"/>
        <v>0</v>
      </c>
    </row>
    <row r="9" spans="1:5" x14ac:dyDescent="0.3">
      <c r="A9" s="1">
        <v>19789</v>
      </c>
      <c r="B9" s="36" t="b">
        <f t="shared" si="0"/>
        <v>0</v>
      </c>
      <c r="D9" s="36" t="s">
        <v>47</v>
      </c>
    </row>
    <row r="10" spans="1:5" x14ac:dyDescent="0.3">
      <c r="A10" s="1">
        <v>64108</v>
      </c>
      <c r="B10" s="36" t="b">
        <f t="shared" si="0"/>
        <v>0</v>
      </c>
      <c r="E10" s="3"/>
    </row>
    <row r="11" spans="1:5" x14ac:dyDescent="0.3">
      <c r="A11" s="1">
        <v>82017</v>
      </c>
      <c r="B11" s="36" t="b">
        <f t="shared" si="0"/>
        <v>0</v>
      </c>
    </row>
    <row r="12" spans="1:5" x14ac:dyDescent="0.3">
      <c r="A12" s="1">
        <v>33444</v>
      </c>
      <c r="B12" s="36" t="b">
        <f t="shared" si="0"/>
        <v>0</v>
      </c>
    </row>
    <row r="13" spans="1:5" x14ac:dyDescent="0.3">
      <c r="A13" s="1">
        <v>42767</v>
      </c>
      <c r="B13" s="36" t="b">
        <f t="shared" si="0"/>
        <v>0</v>
      </c>
    </row>
    <row r="14" spans="1:5" x14ac:dyDescent="0.3">
      <c r="A14" s="1">
        <v>85844</v>
      </c>
      <c r="B14" s="36" t="b">
        <f t="shared" si="0"/>
        <v>0</v>
      </c>
    </row>
    <row r="15" spans="1:5" x14ac:dyDescent="0.3">
      <c r="A15" s="1">
        <v>34838</v>
      </c>
      <c r="B15" s="36" t="b">
        <f t="shared" si="0"/>
        <v>0</v>
      </c>
    </row>
    <row r="16" spans="1:5" x14ac:dyDescent="0.3">
      <c r="A16" s="1">
        <v>59821</v>
      </c>
      <c r="B16" s="36" t="b">
        <f t="shared" si="0"/>
        <v>0</v>
      </c>
    </row>
    <row r="17" spans="1:2" x14ac:dyDescent="0.3">
      <c r="A17" s="1">
        <v>42557</v>
      </c>
      <c r="B17" s="36" t="b">
        <f t="shared" si="0"/>
        <v>0</v>
      </c>
    </row>
    <row r="18" spans="1:2" x14ac:dyDescent="0.3">
      <c r="A18" s="1">
        <v>45207</v>
      </c>
      <c r="B18" s="36" t="b">
        <f t="shared" si="0"/>
        <v>0</v>
      </c>
    </row>
    <row r="19" spans="1:2" x14ac:dyDescent="0.3">
      <c r="A19" s="1">
        <v>35544</v>
      </c>
      <c r="B19" s="36" t="b">
        <f t="shared" si="0"/>
        <v>0</v>
      </c>
    </row>
    <row r="20" spans="1:2" x14ac:dyDescent="0.3">
      <c r="A20" s="1">
        <v>49544</v>
      </c>
      <c r="B20" s="36" t="b">
        <f t="shared" si="0"/>
        <v>0</v>
      </c>
    </row>
    <row r="21" spans="1:2" x14ac:dyDescent="0.3">
      <c r="A21" s="1">
        <v>71107</v>
      </c>
      <c r="B21" s="36" t="b">
        <f t="shared" si="0"/>
        <v>0</v>
      </c>
    </row>
    <row r="22" spans="1:2" x14ac:dyDescent="0.3">
      <c r="A22" s="1">
        <v>31859</v>
      </c>
      <c r="B22" s="36" t="b">
        <f t="shared" si="0"/>
        <v>0</v>
      </c>
    </row>
    <row r="23" spans="1:2" x14ac:dyDescent="0.3">
      <c r="A23" s="1">
        <v>62637</v>
      </c>
      <c r="B23" s="36" t="b">
        <f t="shared" si="0"/>
        <v>0</v>
      </c>
    </row>
    <row r="24" spans="1:2" x14ac:dyDescent="0.3">
      <c r="A24" s="1">
        <v>52190</v>
      </c>
      <c r="B24" s="36" t="b">
        <f t="shared" si="0"/>
        <v>0</v>
      </c>
    </row>
    <row r="25" spans="1:2" x14ac:dyDescent="0.3">
      <c r="A25" s="1">
        <v>87305</v>
      </c>
      <c r="B25" s="36" t="b">
        <f t="shared" si="0"/>
        <v>0</v>
      </c>
    </row>
    <row r="26" spans="1:2" x14ac:dyDescent="0.3">
      <c r="A26" s="1">
        <v>78075</v>
      </c>
      <c r="B26" s="36" t="b">
        <f t="shared" si="0"/>
        <v>0</v>
      </c>
    </row>
    <row r="27" spans="1:2" x14ac:dyDescent="0.3">
      <c r="A27" s="1">
        <v>50523</v>
      </c>
      <c r="B27" s="36" t="b">
        <f t="shared" si="0"/>
        <v>0</v>
      </c>
    </row>
    <row r="28" spans="1:2" x14ac:dyDescent="0.3">
      <c r="A28" s="1">
        <v>11012</v>
      </c>
      <c r="B28" s="36" t="b">
        <f t="shared" si="0"/>
        <v>0</v>
      </c>
    </row>
    <row r="29" spans="1:2" x14ac:dyDescent="0.3">
      <c r="A29" s="1">
        <v>63943</v>
      </c>
      <c r="B29" s="36" t="b">
        <f t="shared" si="0"/>
        <v>0</v>
      </c>
    </row>
    <row r="30" spans="1:2" x14ac:dyDescent="0.3">
      <c r="A30" s="1">
        <v>55686</v>
      </c>
      <c r="B30" s="36" t="b">
        <f t="shared" si="0"/>
        <v>0</v>
      </c>
    </row>
    <row r="31" spans="1:2" x14ac:dyDescent="0.3">
      <c r="A31" s="1">
        <v>90687</v>
      </c>
      <c r="B31" s="36" t="b">
        <f t="shared" si="0"/>
        <v>0</v>
      </c>
    </row>
    <row r="32" spans="1:2" x14ac:dyDescent="0.3">
      <c r="A32" s="1">
        <v>70924</v>
      </c>
      <c r="B32" s="36" t="b">
        <f t="shared" si="0"/>
        <v>0</v>
      </c>
    </row>
    <row r="33" spans="1:2" x14ac:dyDescent="0.3">
      <c r="A33" s="1">
        <v>74716</v>
      </c>
      <c r="B33" s="36" t="b">
        <f t="shared" si="0"/>
        <v>0</v>
      </c>
    </row>
    <row r="34" spans="1:2" x14ac:dyDescent="0.3">
      <c r="A34" s="1">
        <v>33316</v>
      </c>
      <c r="B34" s="36" t="b">
        <f t="shared" si="0"/>
        <v>0</v>
      </c>
    </row>
    <row r="35" spans="1:2" x14ac:dyDescent="0.3">
      <c r="A35" s="1">
        <v>70643</v>
      </c>
      <c r="B35" s="36" t="b">
        <f t="shared" si="0"/>
        <v>0</v>
      </c>
    </row>
    <row r="36" spans="1:2" x14ac:dyDescent="0.3">
      <c r="A36" s="1">
        <v>70792</v>
      </c>
      <c r="B36" s="36" t="b">
        <f t="shared" si="0"/>
        <v>0</v>
      </c>
    </row>
    <row r="37" spans="1:2" x14ac:dyDescent="0.3">
      <c r="A37" s="1">
        <v>34074</v>
      </c>
      <c r="B37" s="36" t="b">
        <f t="shared" si="0"/>
        <v>0</v>
      </c>
    </row>
    <row r="38" spans="1:2" x14ac:dyDescent="0.3">
      <c r="A38" s="1">
        <v>54414</v>
      </c>
      <c r="B38" s="36" t="b">
        <f t="shared" si="0"/>
        <v>0</v>
      </c>
    </row>
    <row r="39" spans="1:2" x14ac:dyDescent="0.3">
      <c r="A39" s="1">
        <v>69063</v>
      </c>
      <c r="B39" s="36" t="b">
        <f t="shared" si="0"/>
        <v>0</v>
      </c>
    </row>
    <row r="40" spans="1:2" x14ac:dyDescent="0.3">
      <c r="A40" s="1">
        <v>71819</v>
      </c>
      <c r="B40" s="36" t="b">
        <f t="shared" si="0"/>
        <v>0</v>
      </c>
    </row>
    <row r="41" spans="1:2" x14ac:dyDescent="0.3">
      <c r="A41" s="1">
        <v>61010</v>
      </c>
      <c r="B41" s="36" t="b">
        <f t="shared" si="0"/>
        <v>0</v>
      </c>
    </row>
    <row r="42" spans="1:2" x14ac:dyDescent="0.3">
      <c r="A42" s="1">
        <v>33456</v>
      </c>
      <c r="B42" s="36" t="b">
        <f t="shared" si="0"/>
        <v>0</v>
      </c>
    </row>
    <row r="43" spans="1:2" x14ac:dyDescent="0.3">
      <c r="A43" s="1">
        <v>54730</v>
      </c>
      <c r="B43" s="36" t="b">
        <f t="shared" si="0"/>
        <v>0</v>
      </c>
    </row>
    <row r="44" spans="1:2" x14ac:dyDescent="0.3">
      <c r="A44" s="1">
        <v>29938</v>
      </c>
      <c r="B44" s="36" t="b">
        <f t="shared" si="0"/>
        <v>0</v>
      </c>
    </row>
    <row r="45" spans="1:2" x14ac:dyDescent="0.3">
      <c r="A45" s="1">
        <v>38097</v>
      </c>
      <c r="B45" s="36" t="b">
        <f t="shared" si="0"/>
        <v>0</v>
      </c>
    </row>
    <row r="46" spans="1:2" x14ac:dyDescent="0.3">
      <c r="A46" s="1">
        <v>65846</v>
      </c>
      <c r="B46" s="36" t="b">
        <f t="shared" si="0"/>
        <v>0</v>
      </c>
    </row>
    <row r="47" spans="1:2" x14ac:dyDescent="0.3">
      <c r="A47" s="1">
        <v>34213</v>
      </c>
      <c r="B47" s="36" t="b">
        <f t="shared" si="0"/>
        <v>0</v>
      </c>
    </row>
    <row r="48" spans="1:2" x14ac:dyDescent="0.3">
      <c r="A48" s="1">
        <v>49669</v>
      </c>
      <c r="B48" s="36" t="b">
        <f t="shared" si="0"/>
        <v>0</v>
      </c>
    </row>
    <row r="49" spans="1:2" x14ac:dyDescent="0.3">
      <c r="A49" s="1">
        <v>66303</v>
      </c>
      <c r="B49" s="36" t="b">
        <f t="shared" si="0"/>
        <v>0</v>
      </c>
    </row>
    <row r="50" spans="1:2" x14ac:dyDescent="0.3">
      <c r="A50" s="1">
        <v>25271</v>
      </c>
      <c r="B50" s="36" t="b">
        <f t="shared" si="0"/>
        <v>0</v>
      </c>
    </row>
    <row r="51" spans="1:2" x14ac:dyDescent="0.3">
      <c r="A51" s="1">
        <v>24645</v>
      </c>
      <c r="B51" s="36" t="b">
        <f t="shared" si="0"/>
        <v>0</v>
      </c>
    </row>
    <row r="52" spans="1:2" x14ac:dyDescent="0.3">
      <c r="A52" s="1">
        <v>30351</v>
      </c>
      <c r="B52" s="36" t="b">
        <f t="shared" si="0"/>
        <v>0</v>
      </c>
    </row>
    <row r="53" spans="1:2" x14ac:dyDescent="0.3">
      <c r="A53" s="1">
        <v>72354</v>
      </c>
      <c r="B53" s="36" t="b">
        <f t="shared" si="0"/>
        <v>0</v>
      </c>
    </row>
    <row r="54" spans="1:2" x14ac:dyDescent="0.3">
      <c r="A54" s="1">
        <v>41473</v>
      </c>
      <c r="B54" s="36" t="b">
        <f t="shared" si="0"/>
        <v>0</v>
      </c>
    </row>
    <row r="55" spans="1:2" x14ac:dyDescent="0.3">
      <c r="A55" s="1">
        <v>61223</v>
      </c>
      <c r="B55" s="36" t="b">
        <f t="shared" si="0"/>
        <v>0</v>
      </c>
    </row>
    <row r="56" spans="1:2" x14ac:dyDescent="0.3">
      <c r="A56" s="1">
        <v>77870</v>
      </c>
      <c r="B56" s="36" t="b">
        <f t="shared" si="0"/>
        <v>0</v>
      </c>
    </row>
    <row r="57" spans="1:2" x14ac:dyDescent="0.3">
      <c r="A57" s="1">
        <v>72679</v>
      </c>
      <c r="B57" s="36" t="b">
        <f t="shared" si="0"/>
        <v>0</v>
      </c>
    </row>
    <row r="58" spans="1:2" x14ac:dyDescent="0.3">
      <c r="A58" s="1">
        <v>53253</v>
      </c>
      <c r="B58" s="36" t="b">
        <f t="shared" si="0"/>
        <v>0</v>
      </c>
    </row>
    <row r="59" spans="1:2" x14ac:dyDescent="0.3">
      <c r="A59" s="1">
        <v>44689</v>
      </c>
      <c r="B59" s="36" t="b">
        <f t="shared" si="0"/>
        <v>0</v>
      </c>
    </row>
    <row r="60" spans="1:2" x14ac:dyDescent="0.3">
      <c r="A60" s="1">
        <v>56253</v>
      </c>
      <c r="B60" s="36" t="b">
        <f t="shared" si="0"/>
        <v>0</v>
      </c>
    </row>
    <row r="61" spans="1:2" x14ac:dyDescent="0.3">
      <c r="A61" s="1">
        <v>48432</v>
      </c>
      <c r="B61" s="36" t="b">
        <f t="shared" si="0"/>
        <v>0</v>
      </c>
    </row>
    <row r="62" spans="1:2" x14ac:dyDescent="0.3">
      <c r="A62" s="1">
        <v>48432</v>
      </c>
      <c r="B62" s="36" t="b">
        <f t="shared" si="0"/>
        <v>0</v>
      </c>
    </row>
    <row r="63" spans="1:2" x14ac:dyDescent="0.3">
      <c r="A63" s="1">
        <v>30899</v>
      </c>
      <c r="B63" s="36" t="b">
        <f t="shared" si="0"/>
        <v>0</v>
      </c>
    </row>
    <row r="64" spans="1:2" x14ac:dyDescent="0.3">
      <c r="A64" s="1">
        <v>61787</v>
      </c>
      <c r="B64" s="36" t="b">
        <f t="shared" si="0"/>
        <v>0</v>
      </c>
    </row>
    <row r="65" spans="1:2" x14ac:dyDescent="0.3">
      <c r="A65" s="1">
        <v>88347</v>
      </c>
      <c r="B65" s="36" t="b">
        <f t="shared" si="0"/>
        <v>0</v>
      </c>
    </row>
    <row r="66" spans="1:2" x14ac:dyDescent="0.3">
      <c r="A66" s="1">
        <v>33051</v>
      </c>
      <c r="B66" s="36" t="b">
        <f t="shared" si="0"/>
        <v>0</v>
      </c>
    </row>
    <row r="67" spans="1:2" x14ac:dyDescent="0.3">
      <c r="A67" s="1">
        <v>7500</v>
      </c>
      <c r="B67" s="36" t="b">
        <f t="shared" ref="B67:B100" si="1">AND(A67&lt;$E$6,A67&gt;$E$7)</f>
        <v>0</v>
      </c>
    </row>
    <row r="68" spans="1:2" x14ac:dyDescent="0.3">
      <c r="A68" s="1">
        <v>33316</v>
      </c>
      <c r="B68" s="36" t="b">
        <f t="shared" si="1"/>
        <v>0</v>
      </c>
    </row>
    <row r="69" spans="1:2" x14ac:dyDescent="0.3">
      <c r="A69" s="1">
        <v>40321</v>
      </c>
      <c r="B69" s="36" t="b">
        <f t="shared" si="1"/>
        <v>0</v>
      </c>
    </row>
    <row r="70" spans="1:2" x14ac:dyDescent="0.3">
      <c r="A70" s="1">
        <v>40689</v>
      </c>
      <c r="B70" s="36" t="b">
        <f t="shared" si="1"/>
        <v>0</v>
      </c>
    </row>
    <row r="71" spans="1:2" x14ac:dyDescent="0.3">
      <c r="A71" s="1">
        <v>54984</v>
      </c>
      <c r="B71" s="36" t="b">
        <f t="shared" si="1"/>
        <v>0</v>
      </c>
    </row>
    <row r="72" spans="1:2" x14ac:dyDescent="0.3">
      <c r="A72" s="1">
        <v>43641</v>
      </c>
      <c r="B72" s="36" t="b">
        <f t="shared" si="1"/>
        <v>0</v>
      </c>
    </row>
    <row r="73" spans="1:2" x14ac:dyDescent="0.3">
      <c r="A73" s="1">
        <v>70038</v>
      </c>
      <c r="B73" s="36" t="b">
        <f t="shared" si="1"/>
        <v>0</v>
      </c>
    </row>
    <row r="74" spans="1:2" x14ac:dyDescent="0.3">
      <c r="A74" s="1">
        <v>74068</v>
      </c>
      <c r="B74" s="36" t="b">
        <f t="shared" si="1"/>
        <v>0</v>
      </c>
    </row>
    <row r="75" spans="1:2" x14ac:dyDescent="0.3">
      <c r="A75" s="1">
        <v>71706</v>
      </c>
      <c r="B75" s="36" t="b">
        <f t="shared" si="1"/>
        <v>0</v>
      </c>
    </row>
    <row r="76" spans="1:2" x14ac:dyDescent="0.3">
      <c r="A76" s="1">
        <v>48948</v>
      </c>
      <c r="B76" s="36" t="b">
        <f t="shared" si="1"/>
        <v>0</v>
      </c>
    </row>
    <row r="77" spans="1:2" x14ac:dyDescent="0.3">
      <c r="A77" s="1">
        <v>37758</v>
      </c>
      <c r="B77" s="36" t="b">
        <f t="shared" si="1"/>
        <v>0</v>
      </c>
    </row>
    <row r="78" spans="1:2" x14ac:dyDescent="0.3">
      <c r="A78" s="1">
        <v>50437</v>
      </c>
      <c r="B78" s="36" t="b">
        <f t="shared" si="1"/>
        <v>0</v>
      </c>
    </row>
    <row r="79" spans="1:2" x14ac:dyDescent="0.3">
      <c r="A79" s="1">
        <v>65316</v>
      </c>
      <c r="B79" s="36" t="b">
        <f t="shared" si="1"/>
        <v>0</v>
      </c>
    </row>
    <row r="80" spans="1:2" x14ac:dyDescent="0.3">
      <c r="A80" s="1">
        <v>80067</v>
      </c>
      <c r="B80" s="36" t="b">
        <f t="shared" si="1"/>
        <v>0</v>
      </c>
    </row>
    <row r="81" spans="1:2" x14ac:dyDescent="0.3">
      <c r="A81" s="1">
        <v>32644</v>
      </c>
      <c r="B81" s="36" t="b">
        <f t="shared" si="1"/>
        <v>0</v>
      </c>
    </row>
    <row r="82" spans="1:2" x14ac:dyDescent="0.3">
      <c r="A82" s="1">
        <v>66664</v>
      </c>
      <c r="B82" s="36" t="b">
        <f t="shared" si="1"/>
        <v>0</v>
      </c>
    </row>
    <row r="83" spans="1:2" x14ac:dyDescent="0.3">
      <c r="A83" s="1">
        <v>30992</v>
      </c>
      <c r="B83" s="36" t="b">
        <f t="shared" si="1"/>
        <v>0</v>
      </c>
    </row>
    <row r="84" spans="1:2" x14ac:dyDescent="0.3">
      <c r="A84" s="1">
        <v>55158</v>
      </c>
      <c r="B84" s="36" t="b">
        <f t="shared" si="1"/>
        <v>0</v>
      </c>
    </row>
    <row r="85" spans="1:2" x14ac:dyDescent="0.3">
      <c r="A85" s="1">
        <v>70321</v>
      </c>
      <c r="B85" s="36" t="b">
        <f t="shared" si="1"/>
        <v>0</v>
      </c>
    </row>
    <row r="86" spans="1:2" x14ac:dyDescent="0.3">
      <c r="A86" s="1">
        <v>44794</v>
      </c>
      <c r="B86" s="36" t="b">
        <f t="shared" si="1"/>
        <v>0</v>
      </c>
    </row>
    <row r="87" spans="1:2" x14ac:dyDescent="0.3">
      <c r="A87" s="1">
        <v>43263</v>
      </c>
      <c r="B87" s="36" t="b">
        <f t="shared" si="1"/>
        <v>0</v>
      </c>
    </row>
    <row r="88" spans="1:2" x14ac:dyDescent="0.3">
      <c r="A88" s="1">
        <v>77568</v>
      </c>
      <c r="B88" s="36" t="b">
        <f t="shared" si="1"/>
        <v>0</v>
      </c>
    </row>
    <row r="89" spans="1:2" x14ac:dyDescent="0.3">
      <c r="A89" s="1">
        <v>38643</v>
      </c>
      <c r="B89" s="36" t="b">
        <f t="shared" si="1"/>
        <v>0</v>
      </c>
    </row>
    <row r="90" spans="1:2" x14ac:dyDescent="0.3">
      <c r="A90" s="1">
        <v>36038</v>
      </c>
      <c r="B90" s="36" t="b">
        <f t="shared" si="1"/>
        <v>0</v>
      </c>
    </row>
    <row r="91" spans="1:2" x14ac:dyDescent="0.3">
      <c r="A91" s="1">
        <v>64590</v>
      </c>
      <c r="B91" s="36" t="b">
        <f t="shared" si="1"/>
        <v>0</v>
      </c>
    </row>
    <row r="92" spans="1:2" x14ac:dyDescent="0.3">
      <c r="A92" s="1">
        <v>46931</v>
      </c>
      <c r="B92" s="36" t="b">
        <f t="shared" si="1"/>
        <v>0</v>
      </c>
    </row>
    <row r="93" spans="1:2" x14ac:dyDescent="0.3">
      <c r="A93" s="1">
        <v>40689</v>
      </c>
      <c r="B93" s="36" t="b">
        <f t="shared" si="1"/>
        <v>0</v>
      </c>
    </row>
    <row r="94" spans="1:2" x14ac:dyDescent="0.3">
      <c r="A94" s="1">
        <v>61482</v>
      </c>
      <c r="B94" s="36" t="b">
        <f t="shared" si="1"/>
        <v>0</v>
      </c>
    </row>
    <row r="95" spans="1:2" x14ac:dyDescent="0.3">
      <c r="A95" s="1">
        <v>80910</v>
      </c>
      <c r="B95" s="36" t="b">
        <f t="shared" si="1"/>
        <v>0</v>
      </c>
    </row>
    <row r="96" spans="1:2" x14ac:dyDescent="0.3">
      <c r="A96" s="1">
        <v>36273</v>
      </c>
      <c r="B96" s="36" t="b">
        <f t="shared" si="1"/>
        <v>0</v>
      </c>
    </row>
    <row r="97" spans="1:2" x14ac:dyDescent="0.3">
      <c r="A97" s="1">
        <v>94642</v>
      </c>
      <c r="B97" s="36" t="b">
        <f t="shared" si="1"/>
        <v>0</v>
      </c>
    </row>
    <row r="98" spans="1:2" x14ac:dyDescent="0.3">
      <c r="A98" s="1">
        <v>92910</v>
      </c>
      <c r="B98" s="36" t="b">
        <f t="shared" si="1"/>
        <v>0</v>
      </c>
    </row>
    <row r="99" spans="1:2" x14ac:dyDescent="0.3">
      <c r="A99" s="1">
        <v>77298</v>
      </c>
      <c r="B99" s="36" t="b">
        <f t="shared" si="1"/>
        <v>0</v>
      </c>
    </row>
    <row r="100" spans="1:2" x14ac:dyDescent="0.3">
      <c r="A100" s="1">
        <v>44300</v>
      </c>
      <c r="B100" s="36" t="b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DD23-891C-4943-8DD3-FAD4B1A40BCE}">
  <dimension ref="A1:O22"/>
  <sheetViews>
    <sheetView workbookViewId="0">
      <selection activeCell="N15" sqref="N15"/>
    </sheetView>
  </sheetViews>
  <sheetFormatPr defaultRowHeight="14.4" x14ac:dyDescent="0.3"/>
  <cols>
    <col min="1" max="1" width="13.33203125" style="1" bestFit="1" customWidth="1"/>
    <col min="2" max="2" width="7.33203125" style="1" bestFit="1" customWidth="1"/>
    <col min="3" max="3" width="14.5546875" style="1" bestFit="1" customWidth="1"/>
    <col min="4" max="4" width="12.6640625" style="1" bestFit="1" customWidth="1"/>
    <col min="5" max="5" width="8.88671875" style="1"/>
    <col min="6" max="6" width="13.33203125" style="1" bestFit="1" customWidth="1"/>
    <col min="7" max="7" width="7.33203125" style="1" bestFit="1" customWidth="1"/>
    <col min="8" max="8" width="14.5546875" style="1" bestFit="1" customWidth="1"/>
    <col min="9" max="9" width="12" style="1" bestFit="1" customWidth="1"/>
    <col min="10" max="10" width="14.5546875" style="1" bestFit="1" customWidth="1"/>
    <col min="11" max="11" width="37.21875" style="1" customWidth="1"/>
    <col min="12" max="12" width="12.6640625" style="1" bestFit="1" customWidth="1"/>
    <col min="13" max="13" width="12" style="1" bestFit="1" customWidth="1"/>
    <col min="14" max="14" width="22.21875" style="1" bestFit="1" customWidth="1"/>
    <col min="15" max="15" width="12.6640625" style="1" bestFit="1" customWidth="1"/>
    <col min="16" max="16" width="12" style="1" bestFit="1" customWidth="1"/>
    <col min="17" max="16384" width="8.88671875" style="1"/>
  </cols>
  <sheetData>
    <row r="1" spans="1:15" s="3" customFormat="1" x14ac:dyDescent="0.3">
      <c r="A1" s="3" t="s">
        <v>3</v>
      </c>
      <c r="B1" s="3" t="s">
        <v>4</v>
      </c>
      <c r="C1" s="20" t="s">
        <v>30</v>
      </c>
      <c r="D1" s="20"/>
      <c r="F1" s="3" t="s">
        <v>3</v>
      </c>
      <c r="G1" s="3" t="s">
        <v>4</v>
      </c>
      <c r="H1" s="20" t="s">
        <v>33</v>
      </c>
      <c r="I1" s="20"/>
      <c r="J1" s="1"/>
      <c r="K1" s="31" t="s">
        <v>48</v>
      </c>
      <c r="L1" s="7"/>
      <c r="M1" s="7"/>
      <c r="O1" s="7"/>
    </row>
    <row r="2" spans="1:15" x14ac:dyDescent="0.3">
      <c r="A2" s="1" t="s">
        <v>30</v>
      </c>
      <c r="B2" s="1">
        <v>46891</v>
      </c>
      <c r="C2" s="4"/>
      <c r="D2" s="4"/>
      <c r="F2" s="1" t="s">
        <v>33</v>
      </c>
      <c r="G2" s="1">
        <v>34824</v>
      </c>
      <c r="H2" s="4"/>
      <c r="I2" s="4"/>
      <c r="K2" s="32" t="s">
        <v>49</v>
      </c>
      <c r="L2" s="8"/>
      <c r="M2" s="8"/>
      <c r="O2" s="8"/>
    </row>
    <row r="3" spans="1:15" x14ac:dyDescent="0.3">
      <c r="A3" s="1" t="s">
        <v>30</v>
      </c>
      <c r="B3" s="1">
        <v>70951</v>
      </c>
      <c r="C3" s="29" t="s">
        <v>50</v>
      </c>
      <c r="D3" s="4">
        <v>56191.928571428572</v>
      </c>
      <c r="F3" s="1" t="s">
        <v>33</v>
      </c>
      <c r="G3" s="1">
        <v>64108</v>
      </c>
      <c r="H3" s="29" t="s">
        <v>50</v>
      </c>
      <c r="I3" s="4">
        <v>40747.388888888891</v>
      </c>
      <c r="K3" s="32" t="s">
        <v>51</v>
      </c>
      <c r="L3" s="8"/>
      <c r="M3" s="8"/>
      <c r="O3" s="8"/>
    </row>
    <row r="4" spans="1:15" x14ac:dyDescent="0.3">
      <c r="A4" s="1" t="s">
        <v>30</v>
      </c>
      <c r="B4" s="1">
        <v>22448</v>
      </c>
      <c r="C4" s="29" t="s">
        <v>52</v>
      </c>
      <c r="D4" s="4">
        <v>5287.3374949327599</v>
      </c>
      <c r="F4" s="1" t="s">
        <v>33</v>
      </c>
      <c r="G4" s="1">
        <v>42767</v>
      </c>
      <c r="H4" s="29" t="s">
        <v>52</v>
      </c>
      <c r="I4" s="4">
        <v>4673.5326354937788</v>
      </c>
      <c r="K4" s="32"/>
    </row>
    <row r="5" spans="1:15" x14ac:dyDescent="0.3">
      <c r="A5" s="1" t="s">
        <v>30</v>
      </c>
      <c r="B5" s="1">
        <v>82017</v>
      </c>
      <c r="C5" s="29" t="s">
        <v>53</v>
      </c>
      <c r="D5" s="4">
        <v>54682.5</v>
      </c>
      <c r="F5" s="1" t="s">
        <v>33</v>
      </c>
      <c r="G5" s="1">
        <v>35544</v>
      </c>
      <c r="H5" s="29" t="s">
        <v>53</v>
      </c>
      <c r="I5" s="4">
        <v>35791</v>
      </c>
      <c r="K5" s="37" t="s">
        <v>54</v>
      </c>
      <c r="L5" s="7"/>
      <c r="M5" s="7"/>
      <c r="O5" s="8"/>
    </row>
    <row r="6" spans="1:15" x14ac:dyDescent="0.3">
      <c r="A6" s="1" t="s">
        <v>30</v>
      </c>
      <c r="B6" s="1">
        <v>33444</v>
      </c>
      <c r="C6" s="29" t="s">
        <v>117</v>
      </c>
      <c r="D6" s="4" t="e">
        <v>#N/A</v>
      </c>
      <c r="F6" s="1" t="s">
        <v>33</v>
      </c>
      <c r="G6" s="1">
        <v>31859</v>
      </c>
      <c r="H6" s="29" t="s">
        <v>117</v>
      </c>
      <c r="I6" s="4">
        <v>33316</v>
      </c>
      <c r="L6"/>
      <c r="M6"/>
    </row>
    <row r="7" spans="1:15" x14ac:dyDescent="0.3">
      <c r="A7" s="1" t="s">
        <v>30</v>
      </c>
      <c r="B7" s="1">
        <v>85844</v>
      </c>
      <c r="C7" s="29" t="s">
        <v>55</v>
      </c>
      <c r="D7" s="4">
        <v>19783.405394281988</v>
      </c>
      <c r="F7" s="1" t="s">
        <v>33</v>
      </c>
      <c r="G7" s="1">
        <v>11012</v>
      </c>
      <c r="H7" s="29" t="s">
        <v>55</v>
      </c>
      <c r="I7" s="4">
        <v>19828.119711925727</v>
      </c>
      <c r="L7"/>
      <c r="M7"/>
    </row>
    <row r="8" spans="1:15" ht="15" thickBot="1" x14ac:dyDescent="0.35">
      <c r="A8" s="1" t="s">
        <v>30</v>
      </c>
      <c r="B8" s="1">
        <v>34838</v>
      </c>
      <c r="C8" s="29" t="s">
        <v>56</v>
      </c>
      <c r="D8" s="4">
        <v>391383128.99450564</v>
      </c>
      <c r="F8" s="1" t="s">
        <v>33</v>
      </c>
      <c r="G8" s="1">
        <v>33316</v>
      </c>
      <c r="H8" s="29" t="s">
        <v>56</v>
      </c>
      <c r="I8" s="4">
        <v>393154331.31045759</v>
      </c>
      <c r="K8" t="s">
        <v>64</v>
      </c>
      <c r="L8"/>
      <c r="M8"/>
    </row>
    <row r="9" spans="1:15" x14ac:dyDescent="0.3">
      <c r="A9" s="1" t="s">
        <v>30</v>
      </c>
      <c r="B9" s="1">
        <v>59821</v>
      </c>
      <c r="C9" s="29" t="s">
        <v>57</v>
      </c>
      <c r="D9" s="4">
        <v>-1.1416310932782339</v>
      </c>
      <c r="F9" s="1" t="s">
        <v>33</v>
      </c>
      <c r="G9" s="1">
        <v>29938</v>
      </c>
      <c r="H9" s="29" t="s">
        <v>57</v>
      </c>
      <c r="I9" s="4">
        <v>0.17235745037952244</v>
      </c>
      <c r="K9" s="6"/>
      <c r="L9" s="6" t="s">
        <v>65</v>
      </c>
      <c r="M9" s="6" t="s">
        <v>66</v>
      </c>
    </row>
    <row r="10" spans="1:15" x14ac:dyDescent="0.3">
      <c r="A10" s="1" t="s">
        <v>30</v>
      </c>
      <c r="B10" s="1">
        <v>42557</v>
      </c>
      <c r="C10" s="29" t="s">
        <v>58</v>
      </c>
      <c r="D10" s="4">
        <v>-4.7165282519140275E-2</v>
      </c>
      <c r="F10" s="1" t="s">
        <v>33</v>
      </c>
      <c r="G10" s="1">
        <v>72354</v>
      </c>
      <c r="H10" s="29" t="s">
        <v>58</v>
      </c>
      <c r="I10" s="4">
        <v>0.63104950730092257</v>
      </c>
      <c r="K10" s="4" t="s">
        <v>50</v>
      </c>
      <c r="L10" s="4">
        <v>56191.928571428572</v>
      </c>
      <c r="M10" s="4">
        <v>38684.928571428572</v>
      </c>
    </row>
    <row r="11" spans="1:15" x14ac:dyDescent="0.3">
      <c r="A11" s="1" t="s">
        <v>30</v>
      </c>
      <c r="B11" s="1">
        <v>45207</v>
      </c>
      <c r="C11" s="29" t="s">
        <v>59</v>
      </c>
      <c r="D11" s="4">
        <v>63396</v>
      </c>
      <c r="F11" s="1" t="s">
        <v>33</v>
      </c>
      <c r="G11" s="1">
        <v>41473</v>
      </c>
      <c r="H11" s="29" t="s">
        <v>59</v>
      </c>
      <c r="I11" s="4">
        <v>73410</v>
      </c>
      <c r="K11" s="4" t="s">
        <v>67</v>
      </c>
      <c r="L11" s="4">
        <v>342542790.69999999</v>
      </c>
      <c r="M11" s="4">
        <v>396154331.30000001</v>
      </c>
    </row>
    <row r="12" spans="1:15" x14ac:dyDescent="0.3">
      <c r="A12" s="1" t="s">
        <v>30</v>
      </c>
      <c r="B12" s="1">
        <v>49544</v>
      </c>
      <c r="C12" s="29" t="s">
        <v>60</v>
      </c>
      <c r="D12" s="4">
        <v>22448</v>
      </c>
      <c r="F12" s="1" t="s">
        <v>33</v>
      </c>
      <c r="G12" s="1">
        <v>72679</v>
      </c>
      <c r="H12" s="29" t="s">
        <v>60</v>
      </c>
      <c r="I12" s="4">
        <v>7500</v>
      </c>
      <c r="K12" s="4" t="s">
        <v>68</v>
      </c>
      <c r="L12" s="4">
        <v>14</v>
      </c>
      <c r="M12" s="4">
        <v>14</v>
      </c>
    </row>
    <row r="13" spans="1:15" x14ac:dyDescent="0.3">
      <c r="A13" s="1" t="s">
        <v>30</v>
      </c>
      <c r="B13" s="1">
        <v>71107</v>
      </c>
      <c r="C13" s="29" t="s">
        <v>61</v>
      </c>
      <c r="D13" s="4">
        <v>85844</v>
      </c>
      <c r="F13" s="1" t="s">
        <v>33</v>
      </c>
      <c r="G13" s="1">
        <v>30899</v>
      </c>
      <c r="H13" s="29" t="s">
        <v>61</v>
      </c>
      <c r="I13" s="4">
        <v>80910</v>
      </c>
      <c r="K13" s="4" t="s">
        <v>69</v>
      </c>
      <c r="L13" s="4">
        <v>17000</v>
      </c>
      <c r="M13" s="4"/>
    </row>
    <row r="14" spans="1:15" x14ac:dyDescent="0.3">
      <c r="A14" s="1" t="s">
        <v>30</v>
      </c>
      <c r="B14" s="1">
        <v>78075</v>
      </c>
      <c r="C14" s="29" t="s">
        <v>62</v>
      </c>
      <c r="D14" s="4">
        <v>786687</v>
      </c>
      <c r="F14" s="1" t="s">
        <v>33</v>
      </c>
      <c r="G14" s="1">
        <v>7500</v>
      </c>
      <c r="H14" s="29" t="s">
        <v>62</v>
      </c>
      <c r="I14" s="4">
        <v>733453</v>
      </c>
      <c r="K14" s="4" t="s">
        <v>70</v>
      </c>
      <c r="L14" s="33">
        <v>6.9797324225272767E-2</v>
      </c>
      <c r="M14" s="4"/>
    </row>
    <row r="15" spans="1:15" ht="15" thickBot="1" x14ac:dyDescent="0.35">
      <c r="A15" s="1" t="s">
        <v>30</v>
      </c>
      <c r="B15" s="1">
        <v>63943</v>
      </c>
      <c r="C15" s="29" t="s">
        <v>63</v>
      </c>
      <c r="D15" s="4">
        <v>14</v>
      </c>
      <c r="F15" s="1" t="s">
        <v>33</v>
      </c>
      <c r="G15" s="1">
        <v>33316</v>
      </c>
      <c r="H15" s="30" t="s">
        <v>63</v>
      </c>
      <c r="I15" s="5">
        <v>18</v>
      </c>
      <c r="K15" s="4" t="s">
        <v>71</v>
      </c>
      <c r="L15" s="4">
        <v>0.47217748847226981</v>
      </c>
      <c r="M15" s="4"/>
    </row>
    <row r="16" spans="1:15" ht="15" thickBot="1" x14ac:dyDescent="0.35">
      <c r="C16" s="5"/>
      <c r="D16" s="5"/>
      <c r="I16" s="1">
        <v>0</v>
      </c>
      <c r="K16" s="4" t="s">
        <v>72</v>
      </c>
      <c r="L16" s="4">
        <v>1.6448536269514715</v>
      </c>
      <c r="M16" s="4"/>
    </row>
    <row r="17" spans="11:14" x14ac:dyDescent="0.3">
      <c r="K17" s="4" t="s">
        <v>73</v>
      </c>
      <c r="L17" s="34">
        <v>0.94435497694453963</v>
      </c>
      <c r="M17" s="4"/>
    </row>
    <row r="18" spans="11:14" ht="15" thickBot="1" x14ac:dyDescent="0.35">
      <c r="K18" s="5" t="s">
        <v>74</v>
      </c>
      <c r="L18" s="27">
        <v>1.9599639845400536</v>
      </c>
      <c r="M18" s="5"/>
    </row>
    <row r="21" spans="11:14" x14ac:dyDescent="0.3">
      <c r="K21" s="43" t="s">
        <v>118</v>
      </c>
      <c r="L21" s="43"/>
      <c r="M21" s="43"/>
      <c r="N21" s="43"/>
    </row>
    <row r="22" spans="11:14" x14ac:dyDescent="0.3">
      <c r="K22" s="42" t="s">
        <v>119</v>
      </c>
      <c r="L22" s="42"/>
      <c r="M22" s="42"/>
      <c r="N22" s="42"/>
    </row>
  </sheetData>
  <mergeCells count="2">
    <mergeCell ref="K22:N22"/>
    <mergeCell ref="K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AE53-7754-4A2C-9811-BFE62D60E7BE}">
  <dimension ref="A1:W46"/>
  <sheetViews>
    <sheetView zoomScaleNormal="100" workbookViewId="0">
      <selection activeCell="H29" sqref="H29"/>
    </sheetView>
  </sheetViews>
  <sheetFormatPr defaultRowHeight="14.4" x14ac:dyDescent="0.3"/>
  <cols>
    <col min="1" max="1" width="13.33203125" bestFit="1" customWidth="1"/>
    <col min="2" max="2" width="9.6640625" bestFit="1" customWidth="1"/>
    <col min="3" max="3" width="13.33203125" bestFit="1" customWidth="1"/>
    <col min="4" max="4" width="9.6640625" bestFit="1" customWidth="1"/>
    <col min="5" max="5" width="13.33203125" customWidth="1"/>
    <col min="6" max="6" width="9.6640625" bestFit="1" customWidth="1"/>
    <col min="9" max="9" width="4" bestFit="1" customWidth="1"/>
    <col min="10" max="10" width="8.88671875" customWidth="1"/>
    <col min="11" max="11" width="5" bestFit="1" customWidth="1"/>
    <col min="14" max="14" width="55" bestFit="1" customWidth="1"/>
    <col min="15" max="15" width="9.6640625" customWidth="1"/>
  </cols>
  <sheetData>
    <row r="1" spans="1:23" x14ac:dyDescent="0.3">
      <c r="A1" s="10" t="s">
        <v>3</v>
      </c>
      <c r="B1" s="10" t="s">
        <v>9</v>
      </c>
      <c r="C1" s="10" t="s">
        <v>3</v>
      </c>
      <c r="D1" s="10" t="s">
        <v>9</v>
      </c>
    </row>
    <row r="2" spans="1:23" x14ac:dyDescent="0.3">
      <c r="A2" s="11" t="s">
        <v>30</v>
      </c>
      <c r="B2" s="11">
        <v>43</v>
      </c>
      <c r="C2" s="11" t="s">
        <v>33</v>
      </c>
      <c r="D2" s="11">
        <v>4</v>
      </c>
      <c r="N2" s="17" t="s">
        <v>48</v>
      </c>
      <c r="O2" s="17"/>
      <c r="P2" s="17"/>
      <c r="Q2" s="17"/>
      <c r="R2" s="17"/>
      <c r="S2" s="18"/>
    </row>
    <row r="3" spans="1:23" x14ac:dyDescent="0.3">
      <c r="A3" s="11" t="s">
        <v>30</v>
      </c>
      <c r="B3" s="11">
        <v>239</v>
      </c>
      <c r="C3" s="11" t="s">
        <v>33</v>
      </c>
      <c r="D3" s="11">
        <v>948</v>
      </c>
      <c r="E3" s="45" t="s">
        <v>115</v>
      </c>
      <c r="F3" s="45"/>
      <c r="G3" s="45"/>
      <c r="H3" s="45"/>
      <c r="I3" s="45"/>
      <c r="J3" s="45"/>
      <c r="K3" s="9">
        <v>0.43</v>
      </c>
      <c r="N3" s="18" t="s">
        <v>76</v>
      </c>
      <c r="O3" s="18"/>
      <c r="P3" s="18"/>
      <c r="Q3" s="18"/>
      <c r="R3" s="18"/>
      <c r="S3" s="18"/>
    </row>
    <row r="4" spans="1:23" x14ac:dyDescent="0.3">
      <c r="A4" s="11" t="s">
        <v>30</v>
      </c>
      <c r="B4" s="11">
        <v>3</v>
      </c>
      <c r="C4" s="11" t="s">
        <v>33</v>
      </c>
      <c r="D4" s="11">
        <v>20</v>
      </c>
      <c r="E4" s="45" t="s">
        <v>116</v>
      </c>
      <c r="F4" s="45"/>
      <c r="G4" s="45"/>
      <c r="H4" s="45"/>
      <c r="I4" s="45"/>
      <c r="J4" s="45"/>
      <c r="K4" s="9">
        <v>0.18</v>
      </c>
      <c r="N4" s="18" t="s">
        <v>79</v>
      </c>
      <c r="O4" s="18"/>
      <c r="P4" s="18"/>
      <c r="Q4" s="18"/>
      <c r="R4" s="18"/>
      <c r="S4" s="18"/>
    </row>
    <row r="5" spans="1:23" x14ac:dyDescent="0.3">
      <c r="A5" s="11" t="s">
        <v>30</v>
      </c>
      <c r="B5" s="11">
        <v>184</v>
      </c>
      <c r="C5" s="11" t="s">
        <v>33</v>
      </c>
      <c r="D5" s="11">
        <v>30</v>
      </c>
      <c r="F5" s="9"/>
      <c r="G5" s="9"/>
      <c r="H5" s="9"/>
      <c r="I5" s="9"/>
      <c r="J5" s="9"/>
      <c r="K5" s="9"/>
      <c r="N5" s="18"/>
      <c r="O5" s="18"/>
      <c r="P5" s="18"/>
      <c r="Q5" s="18"/>
      <c r="R5" s="18"/>
      <c r="S5" s="18"/>
    </row>
    <row r="6" spans="1:23" x14ac:dyDescent="0.3">
      <c r="A6" s="11" t="s">
        <v>30</v>
      </c>
      <c r="B6" s="11">
        <v>8</v>
      </c>
      <c r="C6" s="11" t="s">
        <v>33</v>
      </c>
      <c r="D6" s="11">
        <v>3</v>
      </c>
      <c r="F6" s="44" t="s">
        <v>78</v>
      </c>
      <c r="G6" s="44"/>
      <c r="H6" s="44"/>
      <c r="I6" s="9">
        <v>100</v>
      </c>
      <c r="J6" s="9"/>
      <c r="K6" s="9"/>
      <c r="N6" s="26" t="s">
        <v>80</v>
      </c>
      <c r="P6" s="18"/>
      <c r="Q6" s="18"/>
      <c r="R6" s="18"/>
      <c r="S6" s="18"/>
    </row>
    <row r="7" spans="1:23" x14ac:dyDescent="0.3">
      <c r="A7" s="11" t="s">
        <v>30</v>
      </c>
      <c r="B7" s="11">
        <v>938</v>
      </c>
      <c r="C7" s="11" t="s">
        <v>33</v>
      </c>
      <c r="D7" s="11">
        <v>24</v>
      </c>
      <c r="N7" s="26" t="s">
        <v>81</v>
      </c>
      <c r="O7" s="18"/>
      <c r="P7" s="18"/>
      <c r="Q7" s="18"/>
      <c r="R7" s="18"/>
      <c r="S7" s="18"/>
    </row>
    <row r="8" spans="1:23" x14ac:dyDescent="0.3">
      <c r="A8" s="11" t="s">
        <v>30</v>
      </c>
      <c r="B8" s="11">
        <v>28</v>
      </c>
      <c r="C8" s="11" t="s">
        <v>33</v>
      </c>
      <c r="D8" s="11">
        <v>79</v>
      </c>
    </row>
    <row r="9" spans="1:23" x14ac:dyDescent="0.3">
      <c r="A9" s="11" t="s">
        <v>30</v>
      </c>
      <c r="B9" s="11">
        <v>629</v>
      </c>
      <c r="C9" s="11" t="s">
        <v>33</v>
      </c>
      <c r="D9" s="11">
        <v>3</v>
      </c>
    </row>
    <row r="10" spans="1:23" x14ac:dyDescent="0.3">
      <c r="A10" s="11" t="s">
        <v>30</v>
      </c>
      <c r="B10" s="11">
        <v>192</v>
      </c>
      <c r="C10" s="11" t="s">
        <v>33</v>
      </c>
      <c r="D10" s="11">
        <v>315</v>
      </c>
    </row>
    <row r="11" spans="1:23" x14ac:dyDescent="0.3">
      <c r="A11" s="11" t="s">
        <v>30</v>
      </c>
      <c r="B11" s="11">
        <v>203</v>
      </c>
      <c r="C11" s="11" t="s">
        <v>33</v>
      </c>
      <c r="D11" s="11">
        <v>21</v>
      </c>
    </row>
    <row r="12" spans="1:23" x14ac:dyDescent="0.3">
      <c r="A12" s="11" t="s">
        <v>30</v>
      </c>
      <c r="B12" s="11">
        <v>308</v>
      </c>
      <c r="C12" s="11" t="s">
        <v>33</v>
      </c>
      <c r="D12" s="11">
        <v>619</v>
      </c>
    </row>
    <row r="13" spans="1:23" x14ac:dyDescent="0.3">
      <c r="A13" s="11" t="s">
        <v>30</v>
      </c>
      <c r="B13" s="11">
        <v>533</v>
      </c>
      <c r="C13" s="11" t="s">
        <v>33</v>
      </c>
      <c r="D13" s="11">
        <v>24</v>
      </c>
      <c r="W13" s="16"/>
    </row>
    <row r="14" spans="1:23" x14ac:dyDescent="0.3">
      <c r="A14" s="11" t="s">
        <v>30</v>
      </c>
      <c r="B14" s="11">
        <v>572</v>
      </c>
      <c r="C14" s="11" t="s">
        <v>33</v>
      </c>
      <c r="D14" s="11">
        <v>6</v>
      </c>
      <c r="W14" s="15"/>
    </row>
    <row r="15" spans="1:23" x14ac:dyDescent="0.3">
      <c r="A15" s="11" t="s">
        <v>30</v>
      </c>
      <c r="B15" s="11">
        <v>423</v>
      </c>
      <c r="C15" s="11" t="s">
        <v>33</v>
      </c>
      <c r="D15" s="11">
        <v>79</v>
      </c>
      <c r="W15" s="15"/>
    </row>
    <row r="16" spans="1:23" x14ac:dyDescent="0.3">
      <c r="A16" s="11" t="s">
        <v>30</v>
      </c>
      <c r="B16" s="11">
        <v>635</v>
      </c>
      <c r="C16" s="11" t="s">
        <v>33</v>
      </c>
      <c r="D16" s="11">
        <v>22</v>
      </c>
    </row>
    <row r="17" spans="1:23" x14ac:dyDescent="0.3">
      <c r="A17" s="11" t="s">
        <v>30</v>
      </c>
      <c r="B17" s="11">
        <v>133</v>
      </c>
      <c r="C17" s="11" t="s">
        <v>33</v>
      </c>
      <c r="D17" s="11">
        <v>23</v>
      </c>
      <c r="W17" s="15"/>
    </row>
    <row r="18" spans="1:23" x14ac:dyDescent="0.3">
      <c r="A18" s="11" t="s">
        <v>30</v>
      </c>
      <c r="B18" s="11">
        <v>1218</v>
      </c>
      <c r="C18" s="11" t="s">
        <v>33</v>
      </c>
      <c r="D18" s="11">
        <v>160</v>
      </c>
    </row>
    <row r="19" spans="1:23" x14ac:dyDescent="0.3">
      <c r="A19" s="11" t="s">
        <v>30</v>
      </c>
      <c r="B19" s="11">
        <v>666</v>
      </c>
      <c r="C19" s="12" t="s">
        <v>33</v>
      </c>
      <c r="D19" s="12">
        <v>29</v>
      </c>
    </row>
    <row r="20" spans="1:23" x14ac:dyDescent="0.3">
      <c r="A20" s="11" t="s">
        <v>30</v>
      </c>
      <c r="B20" s="11">
        <v>318</v>
      </c>
      <c r="C20" s="13" t="s">
        <v>75</v>
      </c>
      <c r="D20" s="9">
        <f>SUM(D2:D19)</f>
        <v>2409</v>
      </c>
    </row>
    <row r="21" spans="1:23" x14ac:dyDescent="0.3">
      <c r="A21" s="11" t="s">
        <v>30</v>
      </c>
      <c r="B21" s="11">
        <v>77</v>
      </c>
      <c r="C21" s="13" t="s">
        <v>77</v>
      </c>
      <c r="D21" s="13">
        <v>18</v>
      </c>
    </row>
    <row r="22" spans="1:23" x14ac:dyDescent="0.3">
      <c r="A22" s="11" t="s">
        <v>30</v>
      </c>
      <c r="B22" s="11">
        <v>562</v>
      </c>
    </row>
    <row r="23" spans="1:23" x14ac:dyDescent="0.3">
      <c r="A23" s="11" t="s">
        <v>30</v>
      </c>
      <c r="B23" s="11">
        <v>1090</v>
      </c>
    </row>
    <row r="24" spans="1:23" x14ac:dyDescent="0.3">
      <c r="A24" s="11" t="s">
        <v>30</v>
      </c>
      <c r="B24" s="11">
        <v>10</v>
      </c>
    </row>
    <row r="25" spans="1:23" x14ac:dyDescent="0.3">
      <c r="A25" s="11" t="s">
        <v>30</v>
      </c>
      <c r="B25" s="11">
        <v>5</v>
      </c>
    </row>
    <row r="26" spans="1:23" x14ac:dyDescent="0.3">
      <c r="A26" s="11" t="s">
        <v>30</v>
      </c>
      <c r="B26" s="11">
        <v>709</v>
      </c>
    </row>
    <row r="27" spans="1:23" x14ac:dyDescent="0.3">
      <c r="A27" s="11" t="s">
        <v>30</v>
      </c>
      <c r="B27" s="11">
        <v>1017</v>
      </c>
    </row>
    <row r="28" spans="1:23" x14ac:dyDescent="0.3">
      <c r="A28" s="11" t="s">
        <v>30</v>
      </c>
      <c r="B28" s="11">
        <v>18</v>
      </c>
    </row>
    <row r="29" spans="1:23" x14ac:dyDescent="0.3">
      <c r="A29" s="11" t="s">
        <v>30</v>
      </c>
      <c r="B29" s="11">
        <v>44</v>
      </c>
    </row>
    <row r="30" spans="1:23" x14ac:dyDescent="0.3">
      <c r="A30" s="11" t="s">
        <v>30</v>
      </c>
      <c r="B30" s="11">
        <v>173</v>
      </c>
    </row>
    <row r="31" spans="1:23" x14ac:dyDescent="0.3">
      <c r="A31" s="11" t="s">
        <v>30</v>
      </c>
      <c r="B31" s="11">
        <v>57</v>
      </c>
    </row>
    <row r="32" spans="1:23" x14ac:dyDescent="0.3">
      <c r="A32" s="11" t="s">
        <v>30</v>
      </c>
      <c r="B32" s="11">
        <v>783</v>
      </c>
    </row>
    <row r="33" spans="1:2" x14ac:dyDescent="0.3">
      <c r="A33" s="11" t="s">
        <v>30</v>
      </c>
      <c r="B33" s="11">
        <v>370</v>
      </c>
    </row>
    <row r="34" spans="1:2" x14ac:dyDescent="0.3">
      <c r="A34" s="11" t="s">
        <v>30</v>
      </c>
      <c r="B34" s="11">
        <v>112</v>
      </c>
    </row>
    <row r="35" spans="1:2" x14ac:dyDescent="0.3">
      <c r="A35" s="11" t="s">
        <v>30</v>
      </c>
      <c r="B35" s="11">
        <v>519</v>
      </c>
    </row>
    <row r="36" spans="1:2" x14ac:dyDescent="0.3">
      <c r="A36" s="11" t="s">
        <v>30</v>
      </c>
      <c r="B36" s="11">
        <v>239</v>
      </c>
    </row>
    <row r="37" spans="1:2" x14ac:dyDescent="0.3">
      <c r="A37" s="11" t="s">
        <v>30</v>
      </c>
      <c r="B37" s="11">
        <v>293</v>
      </c>
    </row>
    <row r="38" spans="1:2" x14ac:dyDescent="0.3">
      <c r="A38" s="11" t="s">
        <v>30</v>
      </c>
      <c r="B38" s="11">
        <v>54</v>
      </c>
    </row>
    <row r="39" spans="1:2" x14ac:dyDescent="0.3">
      <c r="A39" s="11" t="s">
        <v>30</v>
      </c>
      <c r="B39" s="11">
        <v>262</v>
      </c>
    </row>
    <row r="40" spans="1:2" x14ac:dyDescent="0.3">
      <c r="A40" s="11" t="s">
        <v>30</v>
      </c>
      <c r="B40" s="11">
        <v>920</v>
      </c>
    </row>
    <row r="41" spans="1:2" x14ac:dyDescent="0.3">
      <c r="A41" s="11" t="s">
        <v>30</v>
      </c>
      <c r="B41" s="11">
        <v>48</v>
      </c>
    </row>
    <row r="42" spans="1:2" x14ac:dyDescent="0.3">
      <c r="A42" s="11" t="s">
        <v>30</v>
      </c>
      <c r="B42" s="11">
        <v>879</v>
      </c>
    </row>
    <row r="43" spans="1:2" x14ac:dyDescent="0.3">
      <c r="A43" s="11" t="s">
        <v>30</v>
      </c>
      <c r="B43" s="11">
        <v>551</v>
      </c>
    </row>
    <row r="44" spans="1:2" x14ac:dyDescent="0.3">
      <c r="A44" s="12" t="s">
        <v>30</v>
      </c>
      <c r="B44" s="12">
        <v>30</v>
      </c>
    </row>
    <row r="45" spans="1:2" x14ac:dyDescent="0.3">
      <c r="A45" s="13" t="s">
        <v>75</v>
      </c>
      <c r="B45" s="9">
        <f>SUM(B2:B44)</f>
        <v>16095</v>
      </c>
    </row>
    <row r="46" spans="1:2" x14ac:dyDescent="0.3">
      <c r="A46" s="13" t="s">
        <v>77</v>
      </c>
      <c r="B46" s="13">
        <v>43</v>
      </c>
    </row>
  </sheetData>
  <mergeCells count="3">
    <mergeCell ref="F6:H6"/>
    <mergeCell ref="E3:J3"/>
    <mergeCell ref="E4:J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D5CD-7A39-4A38-AA6F-1F948CF1DF66}">
  <dimension ref="A1:I26"/>
  <sheetViews>
    <sheetView workbookViewId="0">
      <selection activeCell="J13" sqref="J13"/>
    </sheetView>
  </sheetViews>
  <sheetFormatPr defaultRowHeight="14.4" x14ac:dyDescent="0.3"/>
  <cols>
    <col min="1" max="1" width="13.33203125" bestFit="1" customWidth="1"/>
    <col min="2" max="2" width="7.33203125" bestFit="1" customWidth="1"/>
    <col min="3" max="3" width="6" bestFit="1" customWidth="1"/>
    <col min="5" max="5" width="28.109375" bestFit="1" customWidth="1"/>
    <col min="6" max="6" width="12" bestFit="1" customWidth="1"/>
    <col min="7" max="7" width="10.44140625" bestFit="1" customWidth="1"/>
  </cols>
  <sheetData>
    <row r="1" spans="1:8" x14ac:dyDescent="0.3">
      <c r="A1" s="10" t="s">
        <v>3</v>
      </c>
      <c r="B1" s="10" t="s">
        <v>4</v>
      </c>
      <c r="C1" s="10">
        <v>55000</v>
      </c>
      <c r="E1" s="14" t="s">
        <v>48</v>
      </c>
      <c r="F1" s="16"/>
      <c r="G1" s="16"/>
      <c r="H1" s="16"/>
    </row>
    <row r="2" spans="1:8" x14ac:dyDescent="0.3">
      <c r="A2" s="19" t="s">
        <v>35</v>
      </c>
      <c r="B2" s="19">
        <v>62499</v>
      </c>
      <c r="C2">
        <v>55000</v>
      </c>
      <c r="E2" s="21" t="s">
        <v>120</v>
      </c>
      <c r="F2" s="15"/>
      <c r="G2" s="15"/>
      <c r="H2" s="15"/>
    </row>
    <row r="3" spans="1:8" x14ac:dyDescent="0.3">
      <c r="A3" s="19" t="s">
        <v>35</v>
      </c>
      <c r="B3" s="19">
        <v>64014</v>
      </c>
      <c r="C3">
        <v>55000</v>
      </c>
      <c r="E3" s="21" t="s">
        <v>121</v>
      </c>
      <c r="F3" s="15"/>
      <c r="G3" s="15"/>
      <c r="H3" s="15"/>
    </row>
    <row r="4" spans="1:8" x14ac:dyDescent="0.3">
      <c r="A4" s="19" t="s">
        <v>35</v>
      </c>
      <c r="B4" s="19">
        <v>19789</v>
      </c>
      <c r="C4">
        <v>55000</v>
      </c>
      <c r="E4" s="21"/>
    </row>
    <row r="5" spans="1:8" x14ac:dyDescent="0.3">
      <c r="A5" s="19" t="s">
        <v>35</v>
      </c>
      <c r="B5" s="19">
        <v>52190</v>
      </c>
      <c r="C5">
        <v>55000</v>
      </c>
      <c r="E5" s="35" t="s">
        <v>122</v>
      </c>
    </row>
    <row r="6" spans="1:8" x14ac:dyDescent="0.3">
      <c r="A6" s="19" t="s">
        <v>35</v>
      </c>
      <c r="B6" s="19">
        <v>50523</v>
      </c>
      <c r="C6">
        <v>55000</v>
      </c>
    </row>
    <row r="7" spans="1:8" ht="15" thickBot="1" x14ac:dyDescent="0.35">
      <c r="A7" s="19" t="s">
        <v>35</v>
      </c>
      <c r="B7" s="19">
        <v>34074</v>
      </c>
      <c r="C7">
        <v>55000</v>
      </c>
      <c r="E7" t="s">
        <v>64</v>
      </c>
    </row>
    <row r="8" spans="1:8" x14ac:dyDescent="0.3">
      <c r="A8" s="19" t="s">
        <v>35</v>
      </c>
      <c r="B8" s="19">
        <v>54414</v>
      </c>
      <c r="C8">
        <v>55000</v>
      </c>
      <c r="E8" s="6"/>
      <c r="F8" s="6" t="s">
        <v>65</v>
      </c>
      <c r="G8" s="6" t="s">
        <v>66</v>
      </c>
    </row>
    <row r="9" spans="1:8" x14ac:dyDescent="0.3">
      <c r="A9" s="19" t="s">
        <v>35</v>
      </c>
      <c r="B9" s="19">
        <v>71819</v>
      </c>
      <c r="C9">
        <v>55000</v>
      </c>
      <c r="E9" s="4" t="s">
        <v>50</v>
      </c>
      <c r="F9" s="4">
        <v>55252.92</v>
      </c>
      <c r="G9" s="4">
        <v>55000</v>
      </c>
    </row>
    <row r="10" spans="1:8" x14ac:dyDescent="0.3">
      <c r="A10" s="19" t="s">
        <v>35</v>
      </c>
      <c r="B10" s="19">
        <v>61010</v>
      </c>
      <c r="C10">
        <v>55000</v>
      </c>
      <c r="E10" s="4" t="s">
        <v>67</v>
      </c>
      <c r="F10" s="4">
        <v>342542790.69999999</v>
      </c>
      <c r="G10" s="4">
        <v>9.9999999999999995E-8</v>
      </c>
    </row>
    <row r="11" spans="1:8" x14ac:dyDescent="0.3">
      <c r="A11" s="19" t="s">
        <v>35</v>
      </c>
      <c r="B11" s="19">
        <v>33456</v>
      </c>
      <c r="C11">
        <v>55000</v>
      </c>
      <c r="E11" s="4" t="s">
        <v>68</v>
      </c>
      <c r="F11" s="4">
        <v>25</v>
      </c>
      <c r="G11" s="4">
        <v>25</v>
      </c>
    </row>
    <row r="12" spans="1:8" x14ac:dyDescent="0.3">
      <c r="A12" s="19" t="s">
        <v>35</v>
      </c>
      <c r="B12" s="19">
        <v>49669</v>
      </c>
      <c r="C12">
        <v>55000</v>
      </c>
      <c r="E12" s="4" t="s">
        <v>69</v>
      </c>
      <c r="F12" s="4">
        <v>0</v>
      </c>
      <c r="G12" s="4"/>
    </row>
    <row r="13" spans="1:8" x14ac:dyDescent="0.3">
      <c r="A13" s="19" t="s">
        <v>35</v>
      </c>
      <c r="B13" s="19">
        <v>30351</v>
      </c>
      <c r="C13">
        <v>55000</v>
      </c>
      <c r="E13" s="4" t="s">
        <v>70</v>
      </c>
      <c r="F13" s="33">
        <v>6.8327536317945553E-2</v>
      </c>
      <c r="G13" s="4"/>
    </row>
    <row r="14" spans="1:8" x14ac:dyDescent="0.3">
      <c r="A14" s="19" t="s">
        <v>35</v>
      </c>
      <c r="B14" s="19">
        <v>53253</v>
      </c>
      <c r="C14">
        <v>55000</v>
      </c>
      <c r="E14" s="4" t="s">
        <v>71</v>
      </c>
      <c r="F14" s="4">
        <v>0.47276245226714186</v>
      </c>
      <c r="G14" s="4"/>
    </row>
    <row r="15" spans="1:8" x14ac:dyDescent="0.3">
      <c r="A15" s="19" t="s">
        <v>35</v>
      </c>
      <c r="B15" s="19">
        <v>56253</v>
      </c>
      <c r="C15">
        <v>55000</v>
      </c>
      <c r="E15" s="4" t="s">
        <v>72</v>
      </c>
      <c r="F15" s="4">
        <v>1.6448536269514715</v>
      </c>
      <c r="G15" s="4"/>
    </row>
    <row r="16" spans="1:8" x14ac:dyDescent="0.3">
      <c r="A16" s="19" t="s">
        <v>35</v>
      </c>
      <c r="B16" s="19">
        <v>88347</v>
      </c>
      <c r="C16">
        <v>55000</v>
      </c>
      <c r="E16" s="4" t="s">
        <v>73</v>
      </c>
      <c r="F16" s="34">
        <v>0.94552490453428373</v>
      </c>
      <c r="G16" s="4"/>
    </row>
    <row r="17" spans="1:9" ht="15" thickBot="1" x14ac:dyDescent="0.35">
      <c r="A17" s="19" t="s">
        <v>35</v>
      </c>
      <c r="B17" s="19">
        <v>40689</v>
      </c>
      <c r="C17">
        <v>55000</v>
      </c>
      <c r="E17" s="5" t="s">
        <v>74</v>
      </c>
      <c r="F17" s="27">
        <v>1.9599639845400536</v>
      </c>
      <c r="G17" s="5"/>
    </row>
    <row r="18" spans="1:9" x14ac:dyDescent="0.3">
      <c r="A18" s="19" t="s">
        <v>35</v>
      </c>
      <c r="B18" s="19">
        <v>70038</v>
      </c>
      <c r="C18">
        <v>55000</v>
      </c>
    </row>
    <row r="19" spans="1:9" x14ac:dyDescent="0.3">
      <c r="A19" s="19" t="s">
        <v>35</v>
      </c>
      <c r="B19" s="19">
        <v>71706</v>
      </c>
      <c r="C19">
        <v>55000</v>
      </c>
      <c r="E19" s="46" t="s">
        <v>123</v>
      </c>
      <c r="F19" s="46"/>
      <c r="G19" s="46"/>
      <c r="H19" s="46"/>
      <c r="I19" s="46"/>
    </row>
    <row r="20" spans="1:9" x14ac:dyDescent="0.3">
      <c r="A20" s="19" t="s">
        <v>35</v>
      </c>
      <c r="B20" s="19">
        <v>37758</v>
      </c>
      <c r="C20">
        <v>55000</v>
      </c>
      <c r="E20" s="47" t="s">
        <v>124</v>
      </c>
      <c r="F20" s="47"/>
      <c r="G20" s="47"/>
      <c r="H20" s="47"/>
      <c r="I20" s="47"/>
    </row>
    <row r="21" spans="1:9" x14ac:dyDescent="0.3">
      <c r="A21" s="19" t="s">
        <v>35</v>
      </c>
      <c r="B21" s="19">
        <v>66664</v>
      </c>
      <c r="C21">
        <v>55000</v>
      </c>
    </row>
    <row r="22" spans="1:9" x14ac:dyDescent="0.3">
      <c r="A22" s="19" t="s">
        <v>35</v>
      </c>
      <c r="B22" s="19">
        <v>70321</v>
      </c>
      <c r="C22">
        <v>55000</v>
      </c>
    </row>
    <row r="23" spans="1:9" x14ac:dyDescent="0.3">
      <c r="A23" s="19" t="s">
        <v>35</v>
      </c>
      <c r="B23" s="19">
        <v>77568</v>
      </c>
      <c r="C23">
        <v>55000</v>
      </c>
    </row>
    <row r="24" spans="1:9" x14ac:dyDescent="0.3">
      <c r="A24" s="19" t="s">
        <v>35</v>
      </c>
      <c r="B24" s="19">
        <v>46931</v>
      </c>
      <c r="C24">
        <v>55000</v>
      </c>
    </row>
    <row r="25" spans="1:9" x14ac:dyDescent="0.3">
      <c r="A25" s="19" t="s">
        <v>35</v>
      </c>
      <c r="B25" s="19">
        <v>40689</v>
      </c>
      <c r="C25">
        <v>55000</v>
      </c>
    </row>
    <row r="26" spans="1:9" x14ac:dyDescent="0.3">
      <c r="A26" s="28" t="s">
        <v>35</v>
      </c>
      <c r="B26" s="28">
        <v>77298</v>
      </c>
      <c r="C26">
        <v>55000</v>
      </c>
    </row>
  </sheetData>
  <mergeCells count="2">
    <mergeCell ref="E19:I19"/>
    <mergeCell ref="E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sample</vt:lpstr>
      <vt:lpstr>11 Regresyon</vt:lpstr>
      <vt:lpstr>3.4 Aykırı değer</vt:lpstr>
      <vt:lpstr>6.2.3 Ortalamalar farkı</vt:lpstr>
      <vt:lpstr>7.4 Oranlar farkı</vt:lpstr>
      <vt:lpstr>8.2 Tek Ortalama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Erduran</dc:creator>
  <cp:lastModifiedBy>Ramazan Erduran</cp:lastModifiedBy>
  <dcterms:created xsi:type="dcterms:W3CDTF">2015-06-05T18:19:34Z</dcterms:created>
  <dcterms:modified xsi:type="dcterms:W3CDTF">2021-12-27T18:47:35Z</dcterms:modified>
</cp:coreProperties>
</file>