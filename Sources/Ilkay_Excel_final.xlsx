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ilkay\Desktop\Yazılım Ödevi\"/>
    </mc:Choice>
  </mc:AlternateContent>
  <xr:revisionPtr revIDLastSave="0" documentId="8_{6E1D99D1-8732-4920-845A-EEC662F7479D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ample" sheetId="2" r:id="rId1"/>
    <sheet name="3.2 Sıklık, Yüzde" sheetId="3" r:id="rId2"/>
    <sheet name="4.1 Çapraz Tablo" sheetId="4" r:id="rId3"/>
    <sheet name="6.22 Kitle Oran Kestirimi" sheetId="7" r:id="rId4"/>
    <sheet name="7.1 Tek Kitle Ortalama Hipotezt" sheetId="8" r:id="rId5"/>
    <sheet name="5.1 İki Kitle Varyans Homojenli" sheetId="9" r:id="rId6"/>
    <sheet name="11.4 Varsayım Kontrolleri" sheetId="10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0" l="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J2" i="10"/>
  <c r="J1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2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2" i="10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" i="7"/>
  <c r="B2" i="7"/>
  <c r="E3" i="9"/>
  <c r="F3" i="9"/>
  <c r="E4" i="9"/>
  <c r="F4" i="9"/>
  <c r="E5" i="9"/>
  <c r="F5" i="9"/>
  <c r="E6" i="9"/>
  <c r="F6" i="9"/>
  <c r="E7" i="9"/>
  <c r="F7" i="9"/>
  <c r="E8" i="9"/>
  <c r="F8" i="9"/>
  <c r="E9" i="9"/>
  <c r="F9" i="9"/>
  <c r="E10" i="9"/>
  <c r="F10" i="9"/>
  <c r="E11" i="9"/>
  <c r="F11" i="9"/>
  <c r="E12" i="9"/>
  <c r="F12" i="9"/>
  <c r="E13" i="9"/>
  <c r="F13" i="9"/>
  <c r="E14" i="9"/>
  <c r="F14" i="9"/>
  <c r="E15" i="9"/>
  <c r="F15" i="9"/>
  <c r="E16" i="9"/>
  <c r="F16" i="9"/>
  <c r="E17" i="9"/>
  <c r="F17" i="9"/>
  <c r="E18" i="9"/>
  <c r="F18" i="9"/>
  <c r="E19" i="9"/>
  <c r="F19" i="9"/>
  <c r="E20" i="9"/>
  <c r="F20" i="9"/>
  <c r="E21" i="9"/>
  <c r="F21" i="9"/>
  <c r="E22" i="9"/>
  <c r="F22" i="9"/>
  <c r="E23" i="9"/>
  <c r="F23" i="9"/>
  <c r="E24" i="9"/>
  <c r="F24" i="9"/>
  <c r="E25" i="9"/>
  <c r="F25" i="9"/>
  <c r="E26" i="9"/>
  <c r="F26" i="9"/>
  <c r="E27" i="9"/>
  <c r="F27" i="9"/>
  <c r="E28" i="9"/>
  <c r="F28" i="9"/>
  <c r="E29" i="9"/>
  <c r="F29" i="9"/>
  <c r="E30" i="9"/>
  <c r="F30" i="9"/>
  <c r="E31" i="9"/>
  <c r="F31" i="9"/>
  <c r="E32" i="9"/>
  <c r="F32" i="9"/>
  <c r="E33" i="9"/>
  <c r="F33" i="9"/>
  <c r="E34" i="9"/>
  <c r="F34" i="9"/>
  <c r="E35" i="9"/>
  <c r="F35" i="9"/>
  <c r="E36" i="9"/>
  <c r="F36" i="9"/>
  <c r="E37" i="9"/>
  <c r="F37" i="9"/>
  <c r="E38" i="9"/>
  <c r="F38" i="9"/>
  <c r="E39" i="9"/>
  <c r="F39" i="9"/>
  <c r="E40" i="9"/>
  <c r="F40" i="9"/>
  <c r="E41" i="9"/>
  <c r="F41" i="9"/>
  <c r="E42" i="9"/>
  <c r="F42" i="9"/>
  <c r="E43" i="9"/>
  <c r="F43" i="9"/>
  <c r="E44" i="9"/>
  <c r="F44" i="9"/>
  <c r="E45" i="9"/>
  <c r="F45" i="9"/>
  <c r="E46" i="9"/>
  <c r="F46" i="9"/>
  <c r="E47" i="9"/>
  <c r="F47" i="9"/>
  <c r="E48" i="9"/>
  <c r="F48" i="9"/>
  <c r="E49" i="9"/>
  <c r="F49" i="9"/>
  <c r="E50" i="9"/>
  <c r="F50" i="9"/>
  <c r="E51" i="9"/>
  <c r="F51" i="9"/>
  <c r="E52" i="9"/>
  <c r="F52" i="9"/>
  <c r="E53" i="9"/>
  <c r="F53" i="9"/>
  <c r="E54" i="9"/>
  <c r="F54" i="9"/>
  <c r="E55" i="9"/>
  <c r="F55" i="9"/>
  <c r="E56" i="9"/>
  <c r="F56" i="9"/>
  <c r="E57" i="9"/>
  <c r="F57" i="9"/>
  <c r="E58" i="9"/>
  <c r="F58" i="9"/>
  <c r="E59" i="9"/>
  <c r="F59" i="9"/>
  <c r="E60" i="9"/>
  <c r="F60" i="9"/>
  <c r="E61" i="9"/>
  <c r="F61" i="9"/>
  <c r="E62" i="9"/>
  <c r="F62" i="9"/>
  <c r="E63" i="9"/>
  <c r="F63" i="9"/>
  <c r="E64" i="9"/>
  <c r="F64" i="9"/>
  <c r="E65" i="9"/>
  <c r="F65" i="9"/>
  <c r="E66" i="9"/>
  <c r="F66" i="9"/>
  <c r="E67" i="9"/>
  <c r="F67" i="9"/>
  <c r="E68" i="9"/>
  <c r="F68" i="9"/>
  <c r="E69" i="9"/>
  <c r="F69" i="9"/>
  <c r="E70" i="9"/>
  <c r="F70" i="9"/>
  <c r="E71" i="9"/>
  <c r="F71" i="9"/>
  <c r="E72" i="9"/>
  <c r="F72" i="9"/>
  <c r="E73" i="9"/>
  <c r="F73" i="9"/>
  <c r="E74" i="9"/>
  <c r="F74" i="9"/>
  <c r="E75" i="9"/>
  <c r="F75" i="9"/>
  <c r="E76" i="9"/>
  <c r="F76" i="9"/>
  <c r="E77" i="9"/>
  <c r="F77" i="9"/>
  <c r="E78" i="9"/>
  <c r="F78" i="9"/>
  <c r="E79" i="9"/>
  <c r="F79" i="9"/>
  <c r="E80" i="9"/>
  <c r="F80" i="9"/>
  <c r="E81" i="9"/>
  <c r="F81" i="9"/>
  <c r="E82" i="9"/>
  <c r="F82" i="9"/>
  <c r="E83" i="9"/>
  <c r="F83" i="9"/>
  <c r="E84" i="9"/>
  <c r="F84" i="9"/>
  <c r="E85" i="9"/>
  <c r="F85" i="9"/>
  <c r="E86" i="9"/>
  <c r="F86" i="9"/>
  <c r="E87" i="9"/>
  <c r="F87" i="9"/>
  <c r="E88" i="9"/>
  <c r="F88" i="9"/>
  <c r="E89" i="9"/>
  <c r="F89" i="9"/>
  <c r="E90" i="9"/>
  <c r="F90" i="9"/>
  <c r="E91" i="9"/>
  <c r="F91" i="9"/>
  <c r="E92" i="9"/>
  <c r="F92" i="9"/>
  <c r="E93" i="9"/>
  <c r="F93" i="9"/>
  <c r="E94" i="9"/>
  <c r="F94" i="9"/>
  <c r="E95" i="9"/>
  <c r="F95" i="9"/>
  <c r="E96" i="9"/>
  <c r="F96" i="9"/>
  <c r="E97" i="9"/>
  <c r="F97" i="9"/>
  <c r="E98" i="9"/>
  <c r="F98" i="9"/>
  <c r="E99" i="9"/>
  <c r="F99" i="9"/>
  <c r="E100" i="9"/>
  <c r="F100" i="9"/>
  <c r="E101" i="9"/>
  <c r="F101" i="9"/>
  <c r="E2" i="9"/>
  <c r="F2" i="9"/>
  <c r="F2" i="10" l="1"/>
  <c r="D2" i="9" l="1"/>
  <c r="C2" i="9"/>
  <c r="B2" i="8"/>
  <c r="A102" i="8"/>
  <c r="A4" i="4"/>
  <c r="A5" i="4"/>
  <c r="A6" i="4"/>
  <c r="A7" i="4"/>
  <c r="A8" i="4"/>
  <c r="A9" i="4"/>
  <c r="A10" i="4"/>
  <c r="A11" i="4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3" i="4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F2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3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E102" i="3"/>
  <c r="D102" i="3"/>
  <c r="C102" i="3"/>
  <c r="B102" i="3"/>
  <c r="F102" i="3" s="1"/>
  <c r="E102" i="2" l="1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</calcChain>
</file>

<file path=xl/sharedStrings.xml><?xml version="1.0" encoding="utf-8"?>
<sst xmlns="http://schemas.openxmlformats.org/spreadsheetml/2006/main" count="494" uniqueCount="82">
  <si>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</si>
  <si>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</si>
  <si>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</si>
  <si>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</si>
  <si>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</si>
  <si>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</si>
  <si>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</si>
  <si>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</si>
  <si>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</si>
  <si>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</si>
  <si>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</si>
  <si>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</si>
  <si>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</si>
  <si>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</si>
  <si>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</si>
  <si>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</si>
  <si>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</si>
  <si>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</si>
  <si>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</si>
  <si>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</si>
  <si>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</si>
  <si>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</si>
  <si>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</si>
  <si>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</si>
  <si>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</si>
  <si>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</si>
  <si>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</si>
  <si>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</si>
  <si>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</si>
  <si>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2n Cycle</t>
  </si>
  <si>
    <t>Married</t>
  </si>
  <si>
    <t>Graduation</t>
  </si>
  <si>
    <t>Divorced</t>
  </si>
  <si>
    <t>Single</t>
  </si>
  <si>
    <t>Master</t>
  </si>
  <si>
    <t>Together</t>
  </si>
  <si>
    <t>PhD</t>
  </si>
  <si>
    <t>Widow</t>
  </si>
  <si>
    <t>YOLO</t>
  </si>
  <si>
    <t>Toplam</t>
  </si>
  <si>
    <t>TotalPurchases</t>
  </si>
  <si>
    <t>CustomerNo</t>
  </si>
  <si>
    <t>WebPurchase Yüzde</t>
  </si>
  <si>
    <t>MaritalStatus</t>
  </si>
  <si>
    <t>Grand Total</t>
  </si>
  <si>
    <t>Count of Married</t>
  </si>
  <si>
    <t>MartialStatus</t>
  </si>
  <si>
    <t>p-value</t>
  </si>
  <si>
    <t>MntMeat</t>
  </si>
  <si>
    <t>ABSWines</t>
  </si>
  <si>
    <t>ABSMeat</t>
  </si>
  <si>
    <t>AverageWines</t>
  </si>
  <si>
    <t>AverageMeat</t>
  </si>
  <si>
    <t>Anova: Single Factor</t>
  </si>
  <si>
    <t>SUMMARY</t>
  </si>
  <si>
    <t>Groups</t>
  </si>
  <si>
    <t>Count</t>
  </si>
  <si>
    <t>Sum</t>
  </si>
  <si>
    <t>Average</t>
  </si>
  <si>
    <t>Variance</t>
  </si>
  <si>
    <t>Column 1</t>
  </si>
  <si>
    <t>Column 2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</si>
  <si>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</si>
  <si>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</si>
  <si>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</si>
  <si>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</si>
  <si>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</si>
  <si>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</si>
  <si>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</si>
  <si>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</si>
  <si>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</si>
  <si>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</si>
  <si>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</si>
  <si>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MntGold</t>
  </si>
  <si>
    <t>Cumulative</t>
  </si>
  <si>
    <t>Expected</t>
  </si>
  <si>
    <t>(RANK-1)/N</t>
  </si>
  <si>
    <t>NORM.S.INV</t>
  </si>
  <si>
    <t>Actual</t>
  </si>
  <si>
    <t>Difference</t>
  </si>
  <si>
    <t>Mean</t>
  </si>
  <si>
    <t>Std.dev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</si>
</sst>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3"/>
      <color rgb="FF000000"/>
      <name val="Helvetica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5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1"/>
    <xf numFmtId="14" fontId="3" fillId="0" borderId="0" xfId="1" applyNumberFormat="1"/>
    <xf numFmtId="0" fontId="4" fillId="0" borderId="0" xfId="1" applyFont="1"/>
    <xf numFmtId="0" fontId="2" fillId="2" borderId="0" xfId="1" applyFont="1" applyFill="1"/>
    <xf numFmtId="0" fontId="0" fillId="2" borderId="0" xfId="0" applyFill="1"/>
    <xf numFmtId="0" fontId="6" fillId="2" borderId="0" xfId="0" applyFont="1" applyFill="1"/>
    <xf numFmtId="0" fontId="4" fillId="3" borderId="0" xfId="1" applyFont="1" applyFill="1"/>
    <xf numFmtId="0" fontId="3" fillId="4" borderId="0" xfId="1" applyFill="1"/>
    <xf numFmtId="9" fontId="0" fillId="0" borderId="0" xfId="2" applyFont="1"/>
    <xf numFmtId="9" fontId="3" fillId="0" borderId="0" xfId="2" applyFont="1" applyFill="1"/>
    <xf numFmtId="9" fontId="0" fillId="0" borderId="0" xfId="2" applyFont="1" applyFill="1"/>
    <xf numFmtId="9" fontId="0" fillId="5" borderId="0" xfId="2" applyFont="1" applyFill="1"/>
    <xf numFmtId="0" fontId="2" fillId="0" borderId="1" xfId="1" applyNumberFormat="1" applyFont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1" applyNumberFormat="1" applyFont="1" applyBorder="1" applyAlignment="1"/>
    <xf numFmtId="0" fontId="4" fillId="0" borderId="2" xfId="1" applyNumberFormat="1" applyFont="1" applyBorder="1" applyAlignment="1"/>
    <xf numFmtId="0" fontId="1" fillId="0" borderId="1" xfId="1" applyNumberFormat="1" applyFont="1" applyBorder="1" applyAlignment="1"/>
    <xf numFmtId="0" fontId="0" fillId="6" borderId="0" xfId="0" applyFill="1"/>
    <xf numFmtId="0" fontId="1" fillId="0" borderId="0" xfId="1" applyNumberFormat="1" applyFont="1" applyBorder="1" applyAlignment="1"/>
    <xf numFmtId="0" fontId="4" fillId="0" borderId="0" xfId="1" applyNumberFormat="1" applyFont="1" applyBorder="1" applyAlignment="1"/>
    <xf numFmtId="0" fontId="0" fillId="0" borderId="0" xfId="0" applyFill="1"/>
    <xf numFmtId="0" fontId="0" fillId="0" borderId="0" xfId="0" applyFill="1" applyBorder="1" applyAlignment="1"/>
    <xf numFmtId="0" fontId="0" fillId="0" borderId="3" xfId="0" applyFill="1" applyBorder="1" applyAlignment="1"/>
    <xf numFmtId="0" fontId="7" fillId="0" borderId="4" xfId="0" applyFont="1" applyFill="1" applyBorder="1" applyAlignment="1">
      <alignment horizontal="center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7" borderId="0" xfId="0" applyFont="1" applyFill="1"/>
  </cellXfs>
  <cellStyles count="3">
    <cellStyle name="Normal" xfId="0" builtinId="0"/>
    <cellStyle name="Normal 2" xfId="1" xr:uid="{3E45856F-AECD-4134-AB62-A7F8151FEDA4}"/>
    <cellStyle name="Percent" xfId="2" builtinId="5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Müşterilere</a:t>
            </a:r>
            <a:r>
              <a:rPr lang="tr-TR" baseline="0"/>
              <a:t> Göre İnternet Üzerinden Yapılan Alışveriş Miktarı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568953732687182E-2"/>
          <c:y val="6.617924528301887E-2"/>
          <c:w val="0.96743378842345928"/>
          <c:h val="0.905207126231862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'3.2 Sıklık, Yüzde'!$A$2:$A$101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'3.2 Sıklık, Yüzde'!$C$2:$C$101</c:f>
              <c:numCache>
                <c:formatCode>General</c:formatCode>
                <c:ptCount val="100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8</c:v>
                </c:pt>
                <c:pt idx="7">
                  <c:v>2</c:v>
                </c:pt>
                <c:pt idx="8">
                  <c:v>6</c:v>
                </c:pt>
                <c:pt idx="9">
                  <c:v>5</c:v>
                </c:pt>
                <c:pt idx="10">
                  <c:v>1</c:v>
                </c:pt>
                <c:pt idx="11">
                  <c:v>3</c:v>
                </c:pt>
                <c:pt idx="12">
                  <c:v>6</c:v>
                </c:pt>
                <c:pt idx="13">
                  <c:v>2</c:v>
                </c:pt>
                <c:pt idx="14">
                  <c:v>11</c:v>
                </c:pt>
                <c:pt idx="15">
                  <c:v>6</c:v>
                </c:pt>
                <c:pt idx="16">
                  <c:v>3</c:v>
                </c:pt>
                <c:pt idx="17">
                  <c:v>2</c:v>
                </c:pt>
                <c:pt idx="18">
                  <c:v>5</c:v>
                </c:pt>
                <c:pt idx="19">
                  <c:v>7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5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4</c:v>
                </c:pt>
                <c:pt idx="32">
                  <c:v>7</c:v>
                </c:pt>
                <c:pt idx="33">
                  <c:v>2</c:v>
                </c:pt>
                <c:pt idx="34">
                  <c:v>5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5</c:v>
                </c:pt>
                <c:pt idx="39">
                  <c:v>3</c:v>
                </c:pt>
                <c:pt idx="40">
                  <c:v>8</c:v>
                </c:pt>
                <c:pt idx="41">
                  <c:v>1</c:v>
                </c:pt>
                <c:pt idx="42">
                  <c:v>4</c:v>
                </c:pt>
                <c:pt idx="43">
                  <c:v>1</c:v>
                </c:pt>
                <c:pt idx="44">
                  <c:v>3</c:v>
                </c:pt>
                <c:pt idx="45">
                  <c:v>6</c:v>
                </c:pt>
                <c:pt idx="46">
                  <c:v>3</c:v>
                </c:pt>
                <c:pt idx="47">
                  <c:v>5</c:v>
                </c:pt>
                <c:pt idx="48">
                  <c:v>3</c:v>
                </c:pt>
                <c:pt idx="49">
                  <c:v>1</c:v>
                </c:pt>
                <c:pt idx="50">
                  <c:v>1</c:v>
                </c:pt>
                <c:pt idx="51">
                  <c:v>3</c:v>
                </c:pt>
                <c:pt idx="52">
                  <c:v>2</c:v>
                </c:pt>
                <c:pt idx="53">
                  <c:v>2</c:v>
                </c:pt>
                <c:pt idx="54">
                  <c:v>9</c:v>
                </c:pt>
                <c:pt idx="55">
                  <c:v>5</c:v>
                </c:pt>
                <c:pt idx="56">
                  <c:v>4</c:v>
                </c:pt>
                <c:pt idx="57">
                  <c:v>4</c:v>
                </c:pt>
                <c:pt idx="58">
                  <c:v>1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1</c:v>
                </c:pt>
                <c:pt idx="63">
                  <c:v>8</c:v>
                </c:pt>
                <c:pt idx="64">
                  <c:v>4</c:v>
                </c:pt>
                <c:pt idx="65">
                  <c:v>9</c:v>
                </c:pt>
                <c:pt idx="66">
                  <c:v>2</c:v>
                </c:pt>
                <c:pt idx="67">
                  <c:v>2</c:v>
                </c:pt>
                <c:pt idx="68">
                  <c:v>3</c:v>
                </c:pt>
                <c:pt idx="69">
                  <c:v>7</c:v>
                </c:pt>
                <c:pt idx="70">
                  <c:v>6</c:v>
                </c:pt>
                <c:pt idx="71">
                  <c:v>2</c:v>
                </c:pt>
                <c:pt idx="72">
                  <c:v>4</c:v>
                </c:pt>
                <c:pt idx="73">
                  <c:v>4</c:v>
                </c:pt>
                <c:pt idx="74">
                  <c:v>9</c:v>
                </c:pt>
                <c:pt idx="75">
                  <c:v>7</c:v>
                </c:pt>
                <c:pt idx="76">
                  <c:v>1</c:v>
                </c:pt>
                <c:pt idx="77">
                  <c:v>7</c:v>
                </c:pt>
                <c:pt idx="78">
                  <c:v>3</c:v>
                </c:pt>
                <c:pt idx="79">
                  <c:v>4</c:v>
                </c:pt>
                <c:pt idx="80">
                  <c:v>7</c:v>
                </c:pt>
                <c:pt idx="81">
                  <c:v>5</c:v>
                </c:pt>
                <c:pt idx="82">
                  <c:v>1</c:v>
                </c:pt>
                <c:pt idx="83">
                  <c:v>7</c:v>
                </c:pt>
                <c:pt idx="84">
                  <c:v>6</c:v>
                </c:pt>
                <c:pt idx="85">
                  <c:v>2</c:v>
                </c:pt>
                <c:pt idx="86">
                  <c:v>5</c:v>
                </c:pt>
                <c:pt idx="87">
                  <c:v>10</c:v>
                </c:pt>
                <c:pt idx="88">
                  <c:v>2</c:v>
                </c:pt>
                <c:pt idx="89">
                  <c:v>3</c:v>
                </c:pt>
                <c:pt idx="90">
                  <c:v>9</c:v>
                </c:pt>
                <c:pt idx="91">
                  <c:v>1</c:v>
                </c:pt>
                <c:pt idx="92">
                  <c:v>7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5</c:v>
                </c:pt>
                <c:pt idx="97">
                  <c:v>6</c:v>
                </c:pt>
                <c:pt idx="98">
                  <c:v>6</c:v>
                </c:pt>
                <c:pt idx="9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9-49F8-8512-5698C3EBD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183407"/>
        <c:axId val="1541185487"/>
      </c:barChart>
      <c:catAx>
        <c:axId val="154118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185487"/>
        <c:crosses val="autoZero"/>
        <c:auto val="1"/>
        <c:lblAlgn val="ctr"/>
        <c:lblOffset val="100"/>
        <c:noMultiLvlLbl val="0"/>
      </c:catAx>
      <c:valAx>
        <c:axId val="154118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18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224918</xdr:colOff>
      <xdr:row>3</xdr:row>
      <xdr:rowOff>35859</xdr:rowOff>
    </xdr:from>
    <xdr:to>
      <xdr:col>25</xdr:col>
      <xdr:colOff>446443</xdr:colOff>
      <xdr:row>22</xdr:row>
      <xdr:rowOff>8964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ABAB12E-76F3-4158-AE1E-11CA0CD22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İlkay Baytar" refreshedDate="44561.656502893522" createdVersion="7" refreshedVersion="7" minRefreshableVersion="3" recordCount="99" xr:uid="{F8831A78-2C4D-4CC8-8C4E-DD8759F38501}">
  <cacheSource type="worksheet">
    <worksheetSource ref="B2:C101" sheet="4.1 Çapraz Tablo"/>
  </cacheSource>
  <cacheFields count="2">
    <cacheField name="2n Cycle" numFmtId="0">
      <sharedItems count="4">
        <s v="Graduation"/>
        <s v="Master"/>
        <s v="PhD"/>
        <s v="2n Cycle"/>
      </sharedItems>
    </cacheField>
    <cacheField name="Married" numFmtId="0">
      <sharedItems count="6">
        <s v="Married"/>
        <s v="Divorced"/>
        <s v="Single"/>
        <s v="Together"/>
        <s v="Widow"/>
        <s v="YOL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x v="0"/>
  </r>
  <r>
    <x v="0"/>
    <x v="1"/>
  </r>
  <r>
    <x v="0"/>
    <x v="0"/>
  </r>
  <r>
    <x v="0"/>
    <x v="2"/>
  </r>
  <r>
    <x v="1"/>
    <x v="3"/>
  </r>
  <r>
    <x v="2"/>
    <x v="3"/>
  </r>
  <r>
    <x v="3"/>
    <x v="3"/>
  </r>
  <r>
    <x v="2"/>
    <x v="2"/>
  </r>
  <r>
    <x v="2"/>
    <x v="0"/>
  </r>
  <r>
    <x v="1"/>
    <x v="0"/>
  </r>
  <r>
    <x v="2"/>
    <x v="2"/>
  </r>
  <r>
    <x v="2"/>
    <x v="0"/>
  </r>
  <r>
    <x v="0"/>
    <x v="0"/>
  </r>
  <r>
    <x v="2"/>
    <x v="0"/>
  </r>
  <r>
    <x v="0"/>
    <x v="0"/>
  </r>
  <r>
    <x v="2"/>
    <x v="0"/>
  </r>
  <r>
    <x v="1"/>
    <x v="2"/>
  </r>
  <r>
    <x v="2"/>
    <x v="0"/>
  </r>
  <r>
    <x v="0"/>
    <x v="0"/>
  </r>
  <r>
    <x v="3"/>
    <x v="2"/>
  </r>
  <r>
    <x v="1"/>
    <x v="1"/>
  </r>
  <r>
    <x v="2"/>
    <x v="3"/>
  </r>
  <r>
    <x v="3"/>
    <x v="1"/>
  </r>
  <r>
    <x v="2"/>
    <x v="0"/>
  </r>
  <r>
    <x v="3"/>
    <x v="3"/>
  </r>
  <r>
    <x v="0"/>
    <x v="2"/>
  </r>
  <r>
    <x v="0"/>
    <x v="0"/>
  </r>
  <r>
    <x v="0"/>
    <x v="1"/>
  </r>
  <r>
    <x v="2"/>
    <x v="1"/>
  </r>
  <r>
    <x v="3"/>
    <x v="0"/>
  </r>
  <r>
    <x v="1"/>
    <x v="3"/>
  </r>
  <r>
    <x v="0"/>
    <x v="0"/>
  </r>
  <r>
    <x v="1"/>
    <x v="2"/>
  </r>
  <r>
    <x v="2"/>
    <x v="0"/>
  </r>
  <r>
    <x v="0"/>
    <x v="4"/>
  </r>
  <r>
    <x v="0"/>
    <x v="3"/>
  </r>
  <r>
    <x v="0"/>
    <x v="3"/>
  </r>
  <r>
    <x v="2"/>
    <x v="0"/>
  </r>
  <r>
    <x v="0"/>
    <x v="3"/>
  </r>
  <r>
    <x v="2"/>
    <x v="3"/>
  </r>
  <r>
    <x v="0"/>
    <x v="3"/>
  </r>
  <r>
    <x v="1"/>
    <x v="0"/>
  </r>
  <r>
    <x v="0"/>
    <x v="2"/>
  </r>
  <r>
    <x v="2"/>
    <x v="0"/>
  </r>
  <r>
    <x v="2"/>
    <x v="0"/>
  </r>
  <r>
    <x v="0"/>
    <x v="4"/>
  </r>
  <r>
    <x v="3"/>
    <x v="3"/>
  </r>
  <r>
    <x v="0"/>
    <x v="0"/>
  </r>
  <r>
    <x v="0"/>
    <x v="0"/>
  </r>
  <r>
    <x v="0"/>
    <x v="0"/>
  </r>
  <r>
    <x v="2"/>
    <x v="3"/>
  </r>
  <r>
    <x v="0"/>
    <x v="2"/>
  </r>
  <r>
    <x v="3"/>
    <x v="2"/>
  </r>
  <r>
    <x v="0"/>
    <x v="0"/>
  </r>
  <r>
    <x v="0"/>
    <x v="0"/>
  </r>
  <r>
    <x v="0"/>
    <x v="2"/>
  </r>
  <r>
    <x v="1"/>
    <x v="3"/>
  </r>
  <r>
    <x v="0"/>
    <x v="0"/>
  </r>
  <r>
    <x v="0"/>
    <x v="3"/>
  </r>
  <r>
    <x v="2"/>
    <x v="5"/>
  </r>
  <r>
    <x v="2"/>
    <x v="5"/>
  </r>
  <r>
    <x v="2"/>
    <x v="2"/>
  </r>
  <r>
    <x v="1"/>
    <x v="1"/>
  </r>
  <r>
    <x v="0"/>
    <x v="3"/>
  </r>
  <r>
    <x v="1"/>
    <x v="4"/>
  </r>
  <r>
    <x v="0"/>
    <x v="2"/>
  </r>
  <r>
    <x v="1"/>
    <x v="2"/>
  </r>
  <r>
    <x v="0"/>
    <x v="0"/>
  </r>
  <r>
    <x v="0"/>
    <x v="3"/>
  </r>
  <r>
    <x v="0"/>
    <x v="0"/>
  </r>
  <r>
    <x v="1"/>
    <x v="0"/>
  </r>
  <r>
    <x v="2"/>
    <x v="3"/>
  </r>
  <r>
    <x v="0"/>
    <x v="0"/>
  </r>
  <r>
    <x v="0"/>
    <x v="3"/>
  </r>
  <r>
    <x v="2"/>
    <x v="1"/>
  </r>
  <r>
    <x v="0"/>
    <x v="3"/>
  </r>
  <r>
    <x v="0"/>
    <x v="0"/>
  </r>
  <r>
    <x v="0"/>
    <x v="0"/>
  </r>
  <r>
    <x v="0"/>
    <x v="0"/>
  </r>
  <r>
    <x v="2"/>
    <x v="0"/>
  </r>
  <r>
    <x v="3"/>
    <x v="3"/>
  </r>
  <r>
    <x v="0"/>
    <x v="1"/>
  </r>
  <r>
    <x v="2"/>
    <x v="0"/>
  </r>
  <r>
    <x v="0"/>
    <x v="3"/>
  </r>
  <r>
    <x v="0"/>
    <x v="0"/>
  </r>
  <r>
    <x v="1"/>
    <x v="0"/>
  </r>
  <r>
    <x v="0"/>
    <x v="3"/>
  </r>
  <r>
    <x v="0"/>
    <x v="2"/>
  </r>
  <r>
    <x v="2"/>
    <x v="2"/>
  </r>
  <r>
    <x v="0"/>
    <x v="0"/>
  </r>
  <r>
    <x v="0"/>
    <x v="3"/>
  </r>
  <r>
    <x v="0"/>
    <x v="3"/>
  </r>
  <r>
    <x v="0"/>
    <x v="0"/>
  </r>
  <r>
    <x v="3"/>
    <x v="2"/>
  </r>
  <r>
    <x v="1"/>
    <x v="2"/>
  </r>
  <r>
    <x v="0"/>
    <x v="0"/>
  </r>
  <r>
    <x v="0"/>
    <x v="0"/>
  </r>
  <r>
    <x v="0"/>
    <x v="3"/>
  </r>
  <r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7ABD69-C9BF-4ACF-B02B-099EFD8D6DAE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Graduation" colHeaderCaption="MartialStatus">
  <location ref="E8:L14" firstHeaderRow="1" firstDataRow="2" firstDataCol="1"/>
  <pivotFields count="2">
    <pivotField axis="axisRow" showAll="0">
      <items count="5">
        <item x="3"/>
        <item x="0"/>
        <item x="1"/>
        <item x="2"/>
        <item t="default"/>
      </items>
    </pivotField>
    <pivotField axis="axisCol" dataField="1" showAll="0">
      <items count="7">
        <item x="1"/>
        <item x="0"/>
        <item x="2"/>
        <item x="3"/>
        <item x="4"/>
        <item x="5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Marrie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8712DA-CC53-4C5F-AE57-5CB1690E9ABF}" name="Tablo1" displayName="Tablo1" ref="A1:AC102" totalsRowShown="0">
  <autoFilter ref="A1:AC102" xr:uid="{2BE3AAFC-0931-4DBE-8CE5-C4CE45F0A921}"/>
  <tableColumns count="29">
    <tableColumn id="1" xr3:uid="{CFD4C60A-CC60-47EC-B227-0C2F2689A41B}" name="ID"/>
    <tableColumn id="2" xr3:uid="{62B194C2-A1A9-491E-A8F0-1D710BB06AF0}" name="Year_Birth"/>
    <tableColumn id="3" xr3:uid="{1490B42E-6422-496F-AD35-476F23F7D85D}" name="Education"/>
    <tableColumn id="4" xr3:uid="{FF01EA05-32D7-4337-960C-833BF0F63ADE}" name="Marital_Status"/>
    <tableColumn id="5" xr3:uid="{E953F481-5827-4B95-98F8-008DC990A5E5}" name="Income"/>
    <tableColumn id="6" xr3:uid="{0F2BD24F-60C2-43E3-AFBD-580FB831D3C5}" name="Kidhome"/>
    <tableColumn id="7" xr3:uid="{8A67AF78-FB7C-4339-B06C-88035878D19D}" name="Teenhome"/>
    <tableColumn id="8" xr3:uid="{4C7831C0-96BD-48D2-85B2-413F198AC163}" name="Dt_Customer" dataDxfId="0"/>
    <tableColumn id="9" xr3:uid="{C4C4E17F-69BF-483C-9CA5-02A0EB27B006}" name="Recency"/>
    <tableColumn id="10" xr3:uid="{E5F549D2-6A71-4414-B681-9D1B87D4048D}" name="MntWines"/>
    <tableColumn id="11" xr3:uid="{41B62E2C-5ECE-49F7-9DCE-043F1491770C}" name="MntFruits"/>
    <tableColumn id="12" xr3:uid="{0FD19684-D95D-4746-9394-CF2ADA347F1D}" name="MntMeatProducts"/>
    <tableColumn id="13" xr3:uid="{F35D8A1F-A0A5-4990-A228-04140D7413B0}" name="MntFishProducts"/>
    <tableColumn id="14" xr3:uid="{7E693DFD-D53C-4DA4-930A-F1D96A0085EC}" name="MntSweetProducts"/>
    <tableColumn id="15" xr3:uid="{C113E49A-770F-457E-9C6D-40F72D84E2A5}" name="MntGoldProds"/>
    <tableColumn id="16" xr3:uid="{524726CF-47F6-462D-916F-7579AAC4F865}" name="NumDealsPurchases"/>
    <tableColumn id="17" xr3:uid="{C69A3D66-AEDE-4562-A198-ED012E5121FB}" name="NumWebPurchases"/>
    <tableColumn id="18" xr3:uid="{A5E0E320-DB5B-4EE6-A9B8-6C9DD838B03D}" name="NumCatalogPurchases"/>
    <tableColumn id="19" xr3:uid="{761E89C6-A54B-45D2-902F-FA532FF7220D}" name="NumStorePurchases"/>
    <tableColumn id="20" xr3:uid="{4A22AE70-2A7F-4954-9EE7-A4717B85F7DF}" name="NumWebVisitsMonth"/>
    <tableColumn id="21" xr3:uid="{8F11591B-FE78-4796-AE2D-B8AF9BD7B01F}" name="AcceptedCmp3"/>
    <tableColumn id="22" xr3:uid="{60A6250C-974F-40A6-96FD-9BD214BD33C9}" name="AcceptedCmp4"/>
    <tableColumn id="23" xr3:uid="{1CB4ACEC-E834-4835-BC64-9A2E768EA3DC}" name="AcceptedCmp5"/>
    <tableColumn id="24" xr3:uid="{D44A5C07-0F69-4034-8C24-0553D9EC7650}" name="AcceptedCmp1"/>
    <tableColumn id="25" xr3:uid="{301C542B-05CB-41A4-AB19-C8F170D695C2}" name="AcceptedCmp2"/>
    <tableColumn id="26" xr3:uid="{C38D7413-960C-4F30-BB37-145CA7256B6E}" name="Complain"/>
    <tableColumn id="27" xr3:uid="{1D2D42E5-929E-43BA-9678-EEFD7204813E}" name="Z_CostContact"/>
    <tableColumn id="28" xr3:uid="{5C3E711F-35F4-4D65-BEB6-47FF28CA6E54}" name="Z_Revenue"/>
    <tableColumn id="29" xr3:uid="{ABAD34B9-CA5A-4237-B49D-039E966C2E30}" name="Respons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72CD-BF8D-41D9-B9DA-E2BCA2B2725E}">
  <dimension ref="A1:AC102"/>
  <sheetViews>
    <sheetView topLeftCell="S91" workbookViewId="0">
      <selection activeCell="E2" sqref="E2:E101"/>
    </sheetView>
  </sheetViews>
  <sheetFormatPr defaultRowHeight="14.4" x14ac:dyDescent="0.3"/>
  <cols>
    <col min="1" max="1" width="6" style="1" bestFit="1" customWidth="1"/>
    <col min="2" max="2" width="11.88671875" style="1" bestFit="1" customWidth="1"/>
    <col min="3" max="3" width="11.6640625" style="1" bestFit="1" customWidth="1"/>
    <col min="4" max="4" width="15.5546875" style="1" bestFit="1" customWidth="1"/>
    <col min="5" max="5" width="9.5546875" style="1" bestFit="1" customWidth="1"/>
    <col min="6" max="6" width="10.77734375" style="1" bestFit="1" customWidth="1"/>
    <col min="7" max="7" width="12.21875" style="1" bestFit="1" customWidth="1"/>
    <col min="8" max="8" width="14.21875" style="1" bestFit="1" customWidth="1"/>
    <col min="9" max="9" width="10.21875" style="1" bestFit="1" customWidth="1"/>
    <col min="10" max="10" width="11.88671875" style="1" bestFit="1" customWidth="1"/>
    <col min="11" max="11" width="11.33203125" style="1" bestFit="1" customWidth="1"/>
    <col min="12" max="12" width="18.77734375" style="1" bestFit="1" customWidth="1"/>
    <col min="13" max="13" width="17.5546875" style="1" bestFit="1" customWidth="1"/>
    <col min="14" max="14" width="19.5546875" style="1" bestFit="1" customWidth="1"/>
    <col min="15" max="15" width="15.5546875" style="1" bestFit="1" customWidth="1"/>
    <col min="16" max="16" width="20.44140625" style="1" bestFit="1" customWidth="1"/>
    <col min="17" max="17" width="19.88671875" style="1" bestFit="1" customWidth="1"/>
    <col min="18" max="18" width="22.33203125" style="1" bestFit="1" customWidth="1"/>
    <col min="19" max="19" width="20.44140625" style="1" bestFit="1" customWidth="1"/>
    <col min="20" max="20" width="21.5546875" style="1" bestFit="1" customWidth="1"/>
    <col min="21" max="25" width="16.109375" style="1" bestFit="1" customWidth="1"/>
    <col min="26" max="26" width="11.21875" style="1" bestFit="1" customWidth="1"/>
    <col min="27" max="27" width="15.5546875" style="1" bestFit="1" customWidth="1"/>
    <col min="28" max="28" width="12.5546875" style="1" bestFit="1" customWidth="1"/>
    <col min="29" max="29" width="11.21875" style="1" bestFit="1" customWidth="1"/>
    <col min="30" max="16384" width="8.88671875" style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1">
        <v>2246</v>
      </c>
      <c r="B2" s="1">
        <v>1965</v>
      </c>
      <c r="C2" s="1" t="s">
        <v>29</v>
      </c>
      <c r="D2" s="1" t="s">
        <v>30</v>
      </c>
      <c r="E2" s="1">
        <v>46891</v>
      </c>
      <c r="F2" s="1">
        <v>0</v>
      </c>
      <c r="G2" s="1">
        <v>1</v>
      </c>
      <c r="H2" s="2">
        <v>41518</v>
      </c>
      <c r="I2" s="1">
        <v>91</v>
      </c>
      <c r="J2" s="1">
        <v>43</v>
      </c>
      <c r="K2" s="1">
        <v>12</v>
      </c>
      <c r="L2" s="1">
        <v>23</v>
      </c>
      <c r="M2" s="1">
        <v>29</v>
      </c>
      <c r="N2" s="1">
        <v>15</v>
      </c>
      <c r="O2" s="1">
        <v>61</v>
      </c>
      <c r="P2" s="1">
        <v>1</v>
      </c>
      <c r="Q2" s="1">
        <v>2</v>
      </c>
      <c r="R2" s="1">
        <v>1</v>
      </c>
      <c r="S2" s="1">
        <v>4</v>
      </c>
      <c r="T2" s="1">
        <v>4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3</v>
      </c>
      <c r="AB2" s="1">
        <v>11</v>
      </c>
      <c r="AC2" s="1">
        <v>0</v>
      </c>
    </row>
    <row r="3" spans="1:29" x14ac:dyDescent="0.3">
      <c r="A3" s="1">
        <v>0</v>
      </c>
      <c r="B3" s="1">
        <v>1985</v>
      </c>
      <c r="C3" s="1" t="s">
        <v>31</v>
      </c>
      <c r="D3" s="1" t="s">
        <v>30</v>
      </c>
      <c r="E3" s="1">
        <v>70951</v>
      </c>
      <c r="F3" s="1">
        <v>0</v>
      </c>
      <c r="G3" s="1">
        <v>0</v>
      </c>
      <c r="H3" s="2">
        <v>41398</v>
      </c>
      <c r="I3" s="1">
        <v>66</v>
      </c>
      <c r="J3" s="1">
        <v>239</v>
      </c>
      <c r="K3" s="1">
        <v>10</v>
      </c>
      <c r="L3" s="1">
        <v>554</v>
      </c>
      <c r="M3" s="1">
        <v>254</v>
      </c>
      <c r="N3" s="1">
        <v>87</v>
      </c>
      <c r="O3" s="1">
        <v>54</v>
      </c>
      <c r="P3" s="1">
        <v>1</v>
      </c>
      <c r="Q3" s="1">
        <v>3</v>
      </c>
      <c r="R3" s="1">
        <v>4</v>
      </c>
      <c r="S3" s="1">
        <v>9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</v>
      </c>
      <c r="AB3" s="1">
        <v>11</v>
      </c>
      <c r="AC3" s="1">
        <v>0</v>
      </c>
    </row>
    <row r="4" spans="1:29" x14ac:dyDescent="0.3">
      <c r="A4" s="1">
        <v>6384</v>
      </c>
      <c r="B4" s="1">
        <v>1978</v>
      </c>
      <c r="C4" s="1" t="s">
        <v>31</v>
      </c>
      <c r="D4" s="1" t="s">
        <v>32</v>
      </c>
      <c r="E4" s="1">
        <v>71022</v>
      </c>
      <c r="F4" s="1">
        <v>0</v>
      </c>
      <c r="G4" s="1">
        <v>1</v>
      </c>
      <c r="H4" s="2">
        <v>41681</v>
      </c>
      <c r="I4" s="1">
        <v>30</v>
      </c>
      <c r="J4" s="1">
        <v>909</v>
      </c>
      <c r="K4" s="1">
        <v>12</v>
      </c>
      <c r="L4" s="1">
        <v>278</v>
      </c>
      <c r="M4" s="1">
        <v>0</v>
      </c>
      <c r="N4" s="1">
        <v>12</v>
      </c>
      <c r="O4" s="1">
        <v>242</v>
      </c>
      <c r="P4" s="1">
        <v>3</v>
      </c>
      <c r="Q4" s="1">
        <v>5</v>
      </c>
      <c r="R4" s="1">
        <v>2</v>
      </c>
      <c r="S4" s="1">
        <v>11</v>
      </c>
      <c r="T4" s="1">
        <v>8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3</v>
      </c>
      <c r="AB4" s="1">
        <v>11</v>
      </c>
      <c r="AC4" s="1">
        <v>0</v>
      </c>
    </row>
    <row r="5" spans="1:29" x14ac:dyDescent="0.3">
      <c r="A5" s="1">
        <v>8079</v>
      </c>
      <c r="B5" s="1">
        <v>1982</v>
      </c>
      <c r="C5" s="1" t="s">
        <v>31</v>
      </c>
      <c r="D5" s="1" t="s">
        <v>30</v>
      </c>
      <c r="E5" s="1">
        <v>22448</v>
      </c>
      <c r="F5" s="1">
        <v>1</v>
      </c>
      <c r="G5" s="1">
        <v>0</v>
      </c>
      <c r="H5" s="2">
        <v>41696</v>
      </c>
      <c r="I5" s="1">
        <v>86</v>
      </c>
      <c r="J5" s="1">
        <v>3</v>
      </c>
      <c r="K5" s="1">
        <v>1</v>
      </c>
      <c r="L5" s="1">
        <v>8</v>
      </c>
      <c r="M5" s="1">
        <v>23</v>
      </c>
      <c r="N5" s="1">
        <v>2</v>
      </c>
      <c r="O5" s="1">
        <v>18</v>
      </c>
      <c r="P5" s="1">
        <v>3</v>
      </c>
      <c r="Q5" s="1">
        <v>2</v>
      </c>
      <c r="R5" s="1">
        <v>1</v>
      </c>
      <c r="S5" s="1">
        <v>3</v>
      </c>
      <c r="T5" s="1">
        <v>3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3</v>
      </c>
      <c r="AB5" s="1">
        <v>11</v>
      </c>
      <c r="AC5" s="1">
        <v>0</v>
      </c>
    </row>
    <row r="6" spans="1:29" x14ac:dyDescent="0.3">
      <c r="A6" s="1">
        <v>5184</v>
      </c>
      <c r="B6" s="1">
        <v>1995</v>
      </c>
      <c r="C6" s="1" t="s">
        <v>31</v>
      </c>
      <c r="D6" s="1" t="s">
        <v>33</v>
      </c>
      <c r="E6" s="1">
        <v>34824</v>
      </c>
      <c r="F6" s="1">
        <v>0</v>
      </c>
      <c r="G6" s="1">
        <v>0</v>
      </c>
      <c r="H6" s="2">
        <v>41724</v>
      </c>
      <c r="I6" s="1">
        <v>65</v>
      </c>
      <c r="J6" s="1">
        <v>4</v>
      </c>
      <c r="K6" s="1">
        <v>2</v>
      </c>
      <c r="L6" s="1">
        <v>11</v>
      </c>
      <c r="M6" s="1">
        <v>2</v>
      </c>
      <c r="N6" s="1">
        <v>0</v>
      </c>
      <c r="O6" s="1">
        <v>4</v>
      </c>
      <c r="P6" s="1">
        <v>1</v>
      </c>
      <c r="Q6" s="1">
        <v>1</v>
      </c>
      <c r="R6" s="1">
        <v>0</v>
      </c>
      <c r="S6" s="1">
        <v>2</v>
      </c>
      <c r="T6" s="1">
        <v>6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3</v>
      </c>
      <c r="AB6" s="1">
        <v>11</v>
      </c>
      <c r="AC6" s="1">
        <v>0</v>
      </c>
    </row>
    <row r="7" spans="1:29" x14ac:dyDescent="0.3">
      <c r="A7" s="1">
        <v>5642</v>
      </c>
      <c r="B7" s="1">
        <v>1979</v>
      </c>
      <c r="C7" s="1" t="s">
        <v>34</v>
      </c>
      <c r="D7" s="1" t="s">
        <v>35</v>
      </c>
      <c r="E7" s="1">
        <v>62499</v>
      </c>
      <c r="F7" s="1">
        <v>1</v>
      </c>
      <c r="G7" s="1">
        <v>0</v>
      </c>
      <c r="H7" s="2">
        <v>41617</v>
      </c>
      <c r="I7" s="1">
        <v>0</v>
      </c>
      <c r="J7" s="1">
        <v>140</v>
      </c>
      <c r="K7" s="1">
        <v>4</v>
      </c>
      <c r="L7" s="1">
        <v>61</v>
      </c>
      <c r="M7" s="1">
        <v>0</v>
      </c>
      <c r="N7" s="1">
        <v>13</v>
      </c>
      <c r="O7" s="1">
        <v>4</v>
      </c>
      <c r="P7" s="1">
        <v>2</v>
      </c>
      <c r="Q7" s="1">
        <v>3</v>
      </c>
      <c r="R7" s="1">
        <v>1</v>
      </c>
      <c r="S7" s="1">
        <v>6</v>
      </c>
      <c r="T7" s="1">
        <v>4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3</v>
      </c>
      <c r="AB7" s="1">
        <v>11</v>
      </c>
      <c r="AC7" s="1">
        <v>0</v>
      </c>
    </row>
    <row r="8" spans="1:29" x14ac:dyDescent="0.3">
      <c r="A8" s="1">
        <v>5529</v>
      </c>
      <c r="B8" s="1">
        <v>1946</v>
      </c>
      <c r="C8" s="1" t="s">
        <v>36</v>
      </c>
      <c r="D8" s="1" t="s">
        <v>35</v>
      </c>
      <c r="E8" s="1">
        <v>64014</v>
      </c>
      <c r="F8" s="1">
        <v>2</v>
      </c>
      <c r="G8" s="1">
        <v>1</v>
      </c>
      <c r="H8" s="2">
        <v>41800</v>
      </c>
      <c r="I8" s="1">
        <v>56</v>
      </c>
      <c r="J8" s="1">
        <v>406</v>
      </c>
      <c r="K8" s="1">
        <v>0</v>
      </c>
      <c r="L8" s="1">
        <v>30</v>
      </c>
      <c r="M8" s="1">
        <v>0</v>
      </c>
      <c r="N8" s="1">
        <v>0</v>
      </c>
      <c r="O8" s="1">
        <v>8</v>
      </c>
      <c r="P8" s="1">
        <v>7</v>
      </c>
      <c r="Q8" s="1">
        <v>8</v>
      </c>
      <c r="R8" s="1">
        <v>2</v>
      </c>
      <c r="S8" s="1">
        <v>5</v>
      </c>
      <c r="T8" s="1">
        <v>7</v>
      </c>
      <c r="U8" s="1">
        <v>0</v>
      </c>
      <c r="V8" s="1">
        <v>0</v>
      </c>
      <c r="W8" s="1">
        <v>0</v>
      </c>
      <c r="X8" s="1">
        <v>1</v>
      </c>
      <c r="Y8" s="1">
        <v>0</v>
      </c>
      <c r="Z8" s="1">
        <v>0</v>
      </c>
      <c r="AA8" s="1">
        <v>3</v>
      </c>
      <c r="AB8" s="1">
        <v>11</v>
      </c>
      <c r="AC8" s="1">
        <v>0</v>
      </c>
    </row>
    <row r="9" spans="1:29" x14ac:dyDescent="0.3">
      <c r="A9" s="1">
        <v>6504</v>
      </c>
      <c r="B9" s="1">
        <v>1975</v>
      </c>
      <c r="C9" s="1" t="s">
        <v>29</v>
      </c>
      <c r="D9" s="1" t="s">
        <v>35</v>
      </c>
      <c r="E9" s="1">
        <v>19789</v>
      </c>
      <c r="F9" s="1">
        <v>1</v>
      </c>
      <c r="G9" s="1">
        <v>0</v>
      </c>
      <c r="H9" s="2">
        <v>41598</v>
      </c>
      <c r="I9" s="1">
        <v>24</v>
      </c>
      <c r="J9" s="1">
        <v>2</v>
      </c>
      <c r="K9" s="1">
        <v>5</v>
      </c>
      <c r="L9" s="1">
        <v>9</v>
      </c>
      <c r="M9" s="1">
        <v>28</v>
      </c>
      <c r="N9" s="1">
        <v>6</v>
      </c>
      <c r="O9" s="1">
        <v>28</v>
      </c>
      <c r="P9" s="1">
        <v>3</v>
      </c>
      <c r="Q9" s="1">
        <v>2</v>
      </c>
      <c r="R9" s="1">
        <v>1</v>
      </c>
      <c r="S9" s="1">
        <v>3</v>
      </c>
      <c r="T9" s="1">
        <v>5</v>
      </c>
      <c r="U9" s="1">
        <v>1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3</v>
      </c>
      <c r="AB9" s="1">
        <v>11</v>
      </c>
      <c r="AC9" s="1">
        <v>0</v>
      </c>
    </row>
    <row r="10" spans="1:29" x14ac:dyDescent="0.3">
      <c r="A10" s="1">
        <v>5682</v>
      </c>
      <c r="B10" s="1">
        <v>1953</v>
      </c>
      <c r="C10" s="1" t="s">
        <v>36</v>
      </c>
      <c r="D10" s="1" t="s">
        <v>33</v>
      </c>
      <c r="E10" s="1">
        <v>64108</v>
      </c>
      <c r="F10" s="1">
        <v>0</v>
      </c>
      <c r="G10" s="1">
        <v>1</v>
      </c>
      <c r="H10" s="2">
        <v>41356</v>
      </c>
      <c r="I10" s="1">
        <v>8</v>
      </c>
      <c r="J10" s="1">
        <v>948</v>
      </c>
      <c r="K10" s="1">
        <v>10</v>
      </c>
      <c r="L10" s="1">
        <v>86</v>
      </c>
      <c r="M10" s="1">
        <v>13</v>
      </c>
      <c r="N10" s="1">
        <v>21</v>
      </c>
      <c r="O10" s="1">
        <v>21</v>
      </c>
      <c r="P10" s="1">
        <v>4</v>
      </c>
      <c r="Q10" s="1">
        <v>6</v>
      </c>
      <c r="R10" s="1">
        <v>9</v>
      </c>
      <c r="S10" s="1">
        <v>11</v>
      </c>
      <c r="T10" s="1">
        <v>5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3</v>
      </c>
      <c r="AB10" s="1">
        <v>11</v>
      </c>
      <c r="AC10" s="1">
        <v>0</v>
      </c>
    </row>
    <row r="11" spans="1:29" x14ac:dyDescent="0.3">
      <c r="A11" s="1">
        <v>10446</v>
      </c>
      <c r="B11" s="1">
        <v>1957</v>
      </c>
      <c r="C11" s="1" t="s">
        <v>36</v>
      </c>
      <c r="D11" s="1" t="s">
        <v>30</v>
      </c>
      <c r="E11" s="1">
        <v>82017</v>
      </c>
      <c r="F11" s="1">
        <v>0</v>
      </c>
      <c r="G11" s="1">
        <v>0</v>
      </c>
      <c r="H11" s="2">
        <v>41220</v>
      </c>
      <c r="I11" s="1">
        <v>58</v>
      </c>
      <c r="J11" s="1">
        <v>184</v>
      </c>
      <c r="K11" s="1">
        <v>23</v>
      </c>
      <c r="L11" s="1">
        <v>446</v>
      </c>
      <c r="M11" s="1">
        <v>30</v>
      </c>
      <c r="N11" s="1">
        <v>23</v>
      </c>
      <c r="O11" s="1">
        <v>23</v>
      </c>
      <c r="P11" s="1">
        <v>1</v>
      </c>
      <c r="Q11" s="1">
        <v>5</v>
      </c>
      <c r="R11" s="1">
        <v>4</v>
      </c>
      <c r="S11" s="1">
        <v>7</v>
      </c>
      <c r="T11" s="1">
        <v>2</v>
      </c>
      <c r="U11" s="1">
        <v>0</v>
      </c>
      <c r="V11" s="1">
        <v>1</v>
      </c>
      <c r="W11" s="1">
        <v>1</v>
      </c>
      <c r="X11" s="1">
        <v>1</v>
      </c>
      <c r="Y11" s="1">
        <v>0</v>
      </c>
      <c r="Z11" s="1">
        <v>0</v>
      </c>
      <c r="AA11" s="1">
        <v>3</v>
      </c>
      <c r="AB11" s="1">
        <v>11</v>
      </c>
      <c r="AC11" s="1">
        <v>1</v>
      </c>
    </row>
    <row r="12" spans="1:29" x14ac:dyDescent="0.3">
      <c r="A12" s="1">
        <v>5907</v>
      </c>
      <c r="B12" s="1">
        <v>1952</v>
      </c>
      <c r="C12" s="1" t="s">
        <v>34</v>
      </c>
      <c r="D12" s="1" t="s">
        <v>30</v>
      </c>
      <c r="E12" s="1">
        <v>33444</v>
      </c>
      <c r="F12" s="1">
        <v>1</v>
      </c>
      <c r="G12" s="1">
        <v>1</v>
      </c>
      <c r="H12" s="2">
        <v>41216</v>
      </c>
      <c r="I12" s="1">
        <v>24</v>
      </c>
      <c r="J12" s="1">
        <v>8</v>
      </c>
      <c r="K12" s="1">
        <v>0</v>
      </c>
      <c r="L12" s="1">
        <v>8</v>
      </c>
      <c r="M12" s="1">
        <v>0</v>
      </c>
      <c r="N12" s="1">
        <v>0</v>
      </c>
      <c r="O12" s="1">
        <v>2</v>
      </c>
      <c r="P12" s="1">
        <v>1</v>
      </c>
      <c r="Q12" s="1">
        <v>1</v>
      </c>
      <c r="R12" s="1">
        <v>0</v>
      </c>
      <c r="S12" s="1">
        <v>2</v>
      </c>
      <c r="T12" s="1">
        <v>8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3</v>
      </c>
      <c r="AB12" s="1">
        <v>11</v>
      </c>
      <c r="AC12" s="1">
        <v>0</v>
      </c>
    </row>
    <row r="13" spans="1:29" x14ac:dyDescent="0.3">
      <c r="A13" s="1">
        <v>5048</v>
      </c>
      <c r="B13" s="1">
        <v>1971</v>
      </c>
      <c r="C13" s="1" t="s">
        <v>36</v>
      </c>
      <c r="D13" s="1" t="s">
        <v>33</v>
      </c>
      <c r="E13" s="1">
        <v>42767</v>
      </c>
      <c r="F13" s="1">
        <v>2</v>
      </c>
      <c r="G13" s="1">
        <v>0</v>
      </c>
      <c r="H13" s="2">
        <v>41405</v>
      </c>
      <c r="I13" s="1">
        <v>53</v>
      </c>
      <c r="J13" s="1">
        <v>20</v>
      </c>
      <c r="K13" s="1">
        <v>6</v>
      </c>
      <c r="L13" s="1">
        <v>43</v>
      </c>
      <c r="M13" s="1">
        <v>19</v>
      </c>
      <c r="N13" s="1">
        <v>5</v>
      </c>
      <c r="O13" s="1">
        <v>38</v>
      </c>
      <c r="P13" s="1">
        <v>1</v>
      </c>
      <c r="Q13" s="1">
        <v>3</v>
      </c>
      <c r="R13" s="1">
        <v>1</v>
      </c>
      <c r="S13" s="1">
        <v>2</v>
      </c>
      <c r="T13" s="1">
        <v>8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3</v>
      </c>
      <c r="AB13" s="1">
        <v>11</v>
      </c>
      <c r="AC13" s="1">
        <v>0</v>
      </c>
    </row>
    <row r="14" spans="1:29" x14ac:dyDescent="0.3">
      <c r="A14" s="1">
        <v>1127</v>
      </c>
      <c r="B14" s="1">
        <v>1973</v>
      </c>
      <c r="C14" s="1" t="s">
        <v>36</v>
      </c>
      <c r="D14" s="1" t="s">
        <v>30</v>
      </c>
      <c r="E14" s="1">
        <v>85844</v>
      </c>
      <c r="F14" s="1">
        <v>0</v>
      </c>
      <c r="G14" s="1">
        <v>0</v>
      </c>
      <c r="H14" s="2">
        <v>41788</v>
      </c>
      <c r="I14" s="1">
        <v>62</v>
      </c>
      <c r="J14" s="1">
        <v>938</v>
      </c>
      <c r="K14" s="1">
        <v>19</v>
      </c>
      <c r="L14" s="1">
        <v>843</v>
      </c>
      <c r="M14" s="1">
        <v>25</v>
      </c>
      <c r="N14" s="1">
        <v>95</v>
      </c>
      <c r="O14" s="1">
        <v>38</v>
      </c>
      <c r="P14" s="1">
        <v>1</v>
      </c>
      <c r="Q14" s="1">
        <v>6</v>
      </c>
      <c r="R14" s="1">
        <v>6</v>
      </c>
      <c r="S14" s="1">
        <v>7</v>
      </c>
      <c r="T14" s="1">
        <v>2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3</v>
      </c>
      <c r="AB14" s="1">
        <v>11</v>
      </c>
      <c r="AC14" s="1">
        <v>0</v>
      </c>
    </row>
    <row r="15" spans="1:29" x14ac:dyDescent="0.3">
      <c r="A15" s="1">
        <v>236</v>
      </c>
      <c r="B15" s="1">
        <v>1951</v>
      </c>
      <c r="C15" s="1" t="s">
        <v>31</v>
      </c>
      <c r="D15" s="1" t="s">
        <v>30</v>
      </c>
      <c r="E15" s="1">
        <v>34838</v>
      </c>
      <c r="F15" s="1">
        <v>1</v>
      </c>
      <c r="G15" s="1">
        <v>1</v>
      </c>
      <c r="H15" s="2">
        <v>41293</v>
      </c>
      <c r="I15" s="1">
        <v>62</v>
      </c>
      <c r="J15" s="1">
        <v>28</v>
      </c>
      <c r="K15" s="1">
        <v>23</v>
      </c>
      <c r="L15" s="1">
        <v>29</v>
      </c>
      <c r="M15" s="1">
        <v>29</v>
      </c>
      <c r="N15" s="1">
        <v>14</v>
      </c>
      <c r="O15" s="1">
        <v>47</v>
      </c>
      <c r="P15" s="1">
        <v>3</v>
      </c>
      <c r="Q15" s="1">
        <v>2</v>
      </c>
      <c r="R15" s="1">
        <v>1</v>
      </c>
      <c r="S15" s="1">
        <v>4</v>
      </c>
      <c r="T15" s="1">
        <v>6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3</v>
      </c>
      <c r="AB15" s="1">
        <v>11</v>
      </c>
      <c r="AC15" s="1">
        <v>0</v>
      </c>
    </row>
    <row r="16" spans="1:29" x14ac:dyDescent="0.3">
      <c r="A16" s="1">
        <v>3427</v>
      </c>
      <c r="B16" s="1">
        <v>1955</v>
      </c>
      <c r="C16" s="1" t="s">
        <v>36</v>
      </c>
      <c r="D16" s="1" t="s">
        <v>30</v>
      </c>
      <c r="E16" s="1">
        <v>59821</v>
      </c>
      <c r="F16" s="1">
        <v>0</v>
      </c>
      <c r="G16" s="1">
        <v>1</v>
      </c>
      <c r="H16" s="2">
        <v>41376</v>
      </c>
      <c r="I16" s="1">
        <v>11</v>
      </c>
      <c r="J16" s="1">
        <v>629</v>
      </c>
      <c r="K16" s="1">
        <v>0</v>
      </c>
      <c r="L16" s="1">
        <v>70</v>
      </c>
      <c r="M16" s="1">
        <v>0</v>
      </c>
      <c r="N16" s="1">
        <v>0</v>
      </c>
      <c r="O16" s="1">
        <v>35</v>
      </c>
      <c r="P16" s="1">
        <v>6</v>
      </c>
      <c r="Q16" s="1">
        <v>11</v>
      </c>
      <c r="R16" s="1">
        <v>2</v>
      </c>
      <c r="S16" s="1">
        <v>7</v>
      </c>
      <c r="T16" s="1">
        <v>8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3</v>
      </c>
      <c r="AB16" s="1">
        <v>11</v>
      </c>
      <c r="AC16" s="1">
        <v>0</v>
      </c>
    </row>
    <row r="17" spans="1:29" x14ac:dyDescent="0.3">
      <c r="A17" s="1">
        <v>3846</v>
      </c>
      <c r="B17" s="1">
        <v>1974</v>
      </c>
      <c r="C17" s="1" t="s">
        <v>31</v>
      </c>
      <c r="D17" s="1" t="s">
        <v>30</v>
      </c>
      <c r="E17" s="1">
        <v>42557</v>
      </c>
      <c r="F17" s="1">
        <v>0</v>
      </c>
      <c r="G17" s="1">
        <v>1</v>
      </c>
      <c r="H17" s="2">
        <v>41150</v>
      </c>
      <c r="I17" s="1">
        <v>98</v>
      </c>
      <c r="J17" s="1">
        <v>192</v>
      </c>
      <c r="K17" s="1">
        <v>5</v>
      </c>
      <c r="L17" s="1">
        <v>53</v>
      </c>
      <c r="M17" s="1">
        <v>0</v>
      </c>
      <c r="N17" s="1">
        <v>5</v>
      </c>
      <c r="O17" s="1">
        <v>15</v>
      </c>
      <c r="P17" s="1">
        <v>4</v>
      </c>
      <c r="Q17" s="1">
        <v>6</v>
      </c>
      <c r="R17" s="1">
        <v>1</v>
      </c>
      <c r="S17" s="1">
        <v>4</v>
      </c>
      <c r="T17" s="1">
        <v>8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3</v>
      </c>
      <c r="AB17" s="1">
        <v>11</v>
      </c>
      <c r="AC17" s="1">
        <v>0</v>
      </c>
    </row>
    <row r="18" spans="1:29" x14ac:dyDescent="0.3">
      <c r="A18" s="1">
        <v>5966</v>
      </c>
      <c r="B18" s="1">
        <v>1974</v>
      </c>
      <c r="C18" s="1" t="s">
        <v>36</v>
      </c>
      <c r="D18" s="1" t="s">
        <v>30</v>
      </c>
      <c r="E18" s="1">
        <v>45207</v>
      </c>
      <c r="F18" s="1">
        <v>1</v>
      </c>
      <c r="G18" s="1">
        <v>1</v>
      </c>
      <c r="H18" s="2">
        <v>41223</v>
      </c>
      <c r="I18" s="1">
        <v>64</v>
      </c>
      <c r="J18" s="1">
        <v>203</v>
      </c>
      <c r="K18" s="1">
        <v>0</v>
      </c>
      <c r="L18" s="1">
        <v>10</v>
      </c>
      <c r="M18" s="1">
        <v>0</v>
      </c>
      <c r="N18" s="1">
        <v>0</v>
      </c>
      <c r="O18" s="1">
        <v>2</v>
      </c>
      <c r="P18" s="1">
        <v>5</v>
      </c>
      <c r="Q18" s="1">
        <v>3</v>
      </c>
      <c r="R18" s="1">
        <v>1</v>
      </c>
      <c r="S18" s="1">
        <v>6</v>
      </c>
      <c r="T18" s="1">
        <v>6</v>
      </c>
      <c r="U18" s="1">
        <v>0</v>
      </c>
      <c r="V18" s="1">
        <v>1</v>
      </c>
      <c r="W18" s="1">
        <v>0</v>
      </c>
      <c r="X18" s="1">
        <v>0</v>
      </c>
      <c r="Y18" s="1">
        <v>0</v>
      </c>
      <c r="Z18" s="1">
        <v>0</v>
      </c>
      <c r="AA18" s="1">
        <v>3</v>
      </c>
      <c r="AB18" s="1">
        <v>11</v>
      </c>
      <c r="AC18" s="1">
        <v>0</v>
      </c>
    </row>
    <row r="19" spans="1:29" x14ac:dyDescent="0.3">
      <c r="A19" s="1">
        <v>1834</v>
      </c>
      <c r="B19" s="1">
        <v>1978</v>
      </c>
      <c r="C19" s="1" t="s">
        <v>34</v>
      </c>
      <c r="D19" s="1" t="s">
        <v>33</v>
      </c>
      <c r="E19" s="1">
        <v>35544</v>
      </c>
      <c r="F19" s="1">
        <v>1</v>
      </c>
      <c r="G19" s="1">
        <v>0</v>
      </c>
      <c r="H19" s="2">
        <v>41706</v>
      </c>
      <c r="I19" s="1">
        <v>77</v>
      </c>
      <c r="J19" s="1">
        <v>30</v>
      </c>
      <c r="K19" s="1">
        <v>5</v>
      </c>
      <c r="L19" s="1">
        <v>23</v>
      </c>
      <c r="M19" s="1">
        <v>4</v>
      </c>
      <c r="N19" s="1">
        <v>1</v>
      </c>
      <c r="O19" s="1">
        <v>4</v>
      </c>
      <c r="P19" s="1">
        <v>1</v>
      </c>
      <c r="Q19" s="1">
        <v>2</v>
      </c>
      <c r="R19" s="1">
        <v>0</v>
      </c>
      <c r="S19" s="1">
        <v>3</v>
      </c>
      <c r="T19" s="1">
        <v>7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3</v>
      </c>
      <c r="AB19" s="1">
        <v>11</v>
      </c>
      <c r="AC19" s="1">
        <v>0</v>
      </c>
    </row>
    <row r="20" spans="1:29" x14ac:dyDescent="0.3">
      <c r="A20" s="1">
        <v>4065</v>
      </c>
      <c r="B20" s="1">
        <v>1976</v>
      </c>
      <c r="C20" s="1" t="s">
        <v>36</v>
      </c>
      <c r="D20" s="1" t="s">
        <v>30</v>
      </c>
      <c r="E20" s="1">
        <v>49544</v>
      </c>
      <c r="F20" s="1">
        <v>1</v>
      </c>
      <c r="G20" s="1">
        <v>0</v>
      </c>
      <c r="H20" s="2">
        <v>41317</v>
      </c>
      <c r="I20" s="1">
        <v>0</v>
      </c>
      <c r="J20" s="1">
        <v>308</v>
      </c>
      <c r="K20" s="1">
        <v>0</v>
      </c>
      <c r="L20" s="1">
        <v>73</v>
      </c>
      <c r="M20" s="1">
        <v>0</v>
      </c>
      <c r="N20" s="1">
        <v>0</v>
      </c>
      <c r="O20" s="1">
        <v>23</v>
      </c>
      <c r="P20" s="1">
        <v>2</v>
      </c>
      <c r="Q20" s="1">
        <v>5</v>
      </c>
      <c r="R20" s="1">
        <v>1</v>
      </c>
      <c r="S20" s="1">
        <v>8</v>
      </c>
      <c r="T20" s="1">
        <v>7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3</v>
      </c>
      <c r="AB20" s="1">
        <v>11</v>
      </c>
      <c r="AC20" s="1">
        <v>0</v>
      </c>
    </row>
    <row r="21" spans="1:29" x14ac:dyDescent="0.3">
      <c r="A21" s="1">
        <v>3828</v>
      </c>
      <c r="B21" s="1">
        <v>1951</v>
      </c>
      <c r="C21" s="1" t="s">
        <v>31</v>
      </c>
      <c r="D21" s="1" t="s">
        <v>30</v>
      </c>
      <c r="E21" s="1">
        <v>71107</v>
      </c>
      <c r="F21" s="1">
        <v>0</v>
      </c>
      <c r="G21" s="1">
        <v>1</v>
      </c>
      <c r="H21" s="2">
        <v>41322</v>
      </c>
      <c r="I21" s="1">
        <v>61</v>
      </c>
      <c r="J21" s="1">
        <v>533</v>
      </c>
      <c r="K21" s="1">
        <v>10</v>
      </c>
      <c r="L21" s="1">
        <v>217</v>
      </c>
      <c r="M21" s="1">
        <v>198</v>
      </c>
      <c r="N21" s="1">
        <v>174</v>
      </c>
      <c r="O21" s="1">
        <v>195</v>
      </c>
      <c r="P21" s="1">
        <v>2</v>
      </c>
      <c r="Q21" s="1">
        <v>7</v>
      </c>
      <c r="R21" s="1">
        <v>6</v>
      </c>
      <c r="S21" s="1">
        <v>13</v>
      </c>
      <c r="T21" s="1">
        <v>4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3</v>
      </c>
      <c r="AB21" s="1">
        <v>11</v>
      </c>
      <c r="AC21" s="1">
        <v>0</v>
      </c>
    </row>
    <row r="22" spans="1:29" x14ac:dyDescent="0.3">
      <c r="A22" s="1">
        <v>3878</v>
      </c>
      <c r="B22" s="1">
        <v>1980</v>
      </c>
      <c r="C22" s="1" t="s">
        <v>29</v>
      </c>
      <c r="D22" s="1" t="s">
        <v>33</v>
      </c>
      <c r="E22" s="1">
        <v>31859</v>
      </c>
      <c r="F22" s="1">
        <v>1</v>
      </c>
      <c r="G22" s="1">
        <v>0</v>
      </c>
      <c r="H22" s="2">
        <v>41697</v>
      </c>
      <c r="I22" s="1">
        <v>3</v>
      </c>
      <c r="J22" s="1">
        <v>3</v>
      </c>
      <c r="K22" s="1">
        <v>4</v>
      </c>
      <c r="L22" s="1">
        <v>7</v>
      </c>
      <c r="M22" s="1">
        <v>15</v>
      </c>
      <c r="N22" s="1">
        <v>8</v>
      </c>
      <c r="O22" s="1">
        <v>11</v>
      </c>
      <c r="P22" s="1">
        <v>1</v>
      </c>
      <c r="Q22" s="1">
        <v>1</v>
      </c>
      <c r="R22" s="1">
        <v>0</v>
      </c>
      <c r="S22" s="1">
        <v>3</v>
      </c>
      <c r="T22" s="1">
        <v>7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3</v>
      </c>
      <c r="AB22" s="1">
        <v>11</v>
      </c>
      <c r="AC22" s="1">
        <v>0</v>
      </c>
    </row>
    <row r="23" spans="1:29" x14ac:dyDescent="0.3">
      <c r="A23" s="1">
        <v>2948</v>
      </c>
      <c r="B23" s="1">
        <v>1954</v>
      </c>
      <c r="C23" s="1" t="s">
        <v>34</v>
      </c>
      <c r="D23" s="1" t="s">
        <v>32</v>
      </c>
      <c r="E23" s="1">
        <v>62637</v>
      </c>
      <c r="F23" s="1">
        <v>0</v>
      </c>
      <c r="G23" s="1">
        <v>1</v>
      </c>
      <c r="H23" s="2">
        <v>41699</v>
      </c>
      <c r="I23" s="1">
        <v>76</v>
      </c>
      <c r="J23" s="1">
        <v>104</v>
      </c>
      <c r="K23" s="1">
        <v>12</v>
      </c>
      <c r="L23" s="1">
        <v>48</v>
      </c>
      <c r="M23" s="1">
        <v>4</v>
      </c>
      <c r="N23" s="1">
        <v>12</v>
      </c>
      <c r="O23" s="1">
        <v>5</v>
      </c>
      <c r="P23" s="1">
        <v>1</v>
      </c>
      <c r="Q23" s="1">
        <v>2</v>
      </c>
      <c r="R23" s="1">
        <v>2</v>
      </c>
      <c r="S23" s="1">
        <v>5</v>
      </c>
      <c r="T23" s="1">
        <v>2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3</v>
      </c>
      <c r="AB23" s="1">
        <v>11</v>
      </c>
      <c r="AC23" s="1">
        <v>0</v>
      </c>
    </row>
    <row r="24" spans="1:29" x14ac:dyDescent="0.3">
      <c r="A24" s="1">
        <v>6387</v>
      </c>
      <c r="B24" s="1">
        <v>1976</v>
      </c>
      <c r="C24" s="1" t="s">
        <v>36</v>
      </c>
      <c r="D24" s="1" t="s">
        <v>35</v>
      </c>
      <c r="E24" s="1">
        <v>52190</v>
      </c>
      <c r="F24" s="1">
        <v>1</v>
      </c>
      <c r="G24" s="1">
        <v>1</v>
      </c>
      <c r="H24" s="2">
        <v>41767</v>
      </c>
      <c r="I24" s="1">
        <v>39</v>
      </c>
      <c r="J24" s="1">
        <v>42</v>
      </c>
      <c r="K24" s="1">
        <v>0</v>
      </c>
      <c r="L24" s="1">
        <v>17</v>
      </c>
      <c r="M24" s="1">
        <v>0</v>
      </c>
      <c r="N24" s="1">
        <v>0</v>
      </c>
      <c r="O24" s="1">
        <v>18</v>
      </c>
      <c r="P24" s="1">
        <v>3</v>
      </c>
      <c r="Q24" s="1">
        <v>2</v>
      </c>
      <c r="R24" s="1">
        <v>1</v>
      </c>
      <c r="S24" s="1">
        <v>3</v>
      </c>
      <c r="T24" s="1">
        <v>5</v>
      </c>
      <c r="U24" s="1">
        <v>1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3</v>
      </c>
      <c r="AB24" s="1">
        <v>11</v>
      </c>
      <c r="AC24" s="1">
        <v>0</v>
      </c>
    </row>
    <row r="25" spans="1:29" x14ac:dyDescent="0.3">
      <c r="A25" s="1">
        <v>3619</v>
      </c>
      <c r="B25" s="1">
        <v>1960</v>
      </c>
      <c r="C25" s="1" t="s">
        <v>29</v>
      </c>
      <c r="D25" s="1" t="s">
        <v>32</v>
      </c>
      <c r="E25" s="1">
        <v>87305</v>
      </c>
      <c r="F25" s="1">
        <v>0</v>
      </c>
      <c r="G25" s="1">
        <v>0</v>
      </c>
      <c r="H25" s="2">
        <v>41175</v>
      </c>
      <c r="I25" s="1">
        <v>19</v>
      </c>
      <c r="J25" s="1">
        <v>345</v>
      </c>
      <c r="K25" s="1">
        <v>25</v>
      </c>
      <c r="L25" s="1">
        <v>501</v>
      </c>
      <c r="M25" s="1">
        <v>63</v>
      </c>
      <c r="N25" s="1">
        <v>138</v>
      </c>
      <c r="O25" s="1">
        <v>80</v>
      </c>
      <c r="P25" s="1">
        <v>1</v>
      </c>
      <c r="Q25" s="1">
        <v>5</v>
      </c>
      <c r="R25" s="1">
        <v>3</v>
      </c>
      <c r="S25" s="1">
        <v>8</v>
      </c>
      <c r="T25" s="1">
        <v>2</v>
      </c>
      <c r="U25" s="1">
        <v>0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3</v>
      </c>
      <c r="AB25" s="1">
        <v>11</v>
      </c>
      <c r="AC25" s="1">
        <v>1</v>
      </c>
    </row>
    <row r="26" spans="1:29" x14ac:dyDescent="0.3">
      <c r="A26" s="1">
        <v>5545</v>
      </c>
      <c r="B26" s="1">
        <v>1972</v>
      </c>
      <c r="C26" s="1" t="s">
        <v>36</v>
      </c>
      <c r="D26" s="1" t="s">
        <v>30</v>
      </c>
      <c r="E26" s="1">
        <v>78075</v>
      </c>
      <c r="F26" s="1">
        <v>0</v>
      </c>
      <c r="G26" s="1">
        <v>0</v>
      </c>
      <c r="H26" s="2">
        <v>41734</v>
      </c>
      <c r="I26" s="1">
        <v>72</v>
      </c>
      <c r="J26" s="1">
        <v>572</v>
      </c>
      <c r="K26" s="1">
        <v>8</v>
      </c>
      <c r="L26" s="1">
        <v>259</v>
      </c>
      <c r="M26" s="1">
        <v>34</v>
      </c>
      <c r="N26" s="1">
        <v>35</v>
      </c>
      <c r="O26" s="1">
        <v>80</v>
      </c>
      <c r="P26" s="1">
        <v>1</v>
      </c>
      <c r="Q26" s="1">
        <v>3</v>
      </c>
      <c r="R26" s="1">
        <v>5</v>
      </c>
      <c r="S26" s="1">
        <v>5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3</v>
      </c>
      <c r="AB26" s="1">
        <v>11</v>
      </c>
      <c r="AC26" s="1">
        <v>0</v>
      </c>
    </row>
    <row r="27" spans="1:29" x14ac:dyDescent="0.3">
      <c r="A27" s="1">
        <v>9140</v>
      </c>
      <c r="B27" s="1">
        <v>1960</v>
      </c>
      <c r="C27" s="1" t="s">
        <v>29</v>
      </c>
      <c r="D27" s="1" t="s">
        <v>35</v>
      </c>
      <c r="E27" s="1">
        <v>50523</v>
      </c>
      <c r="F27" s="1">
        <v>1</v>
      </c>
      <c r="G27" s="1">
        <v>1</v>
      </c>
      <c r="H27" s="2">
        <v>41633</v>
      </c>
      <c r="I27" s="1">
        <v>89</v>
      </c>
      <c r="J27" s="1">
        <v>51</v>
      </c>
      <c r="K27" s="1">
        <v>4</v>
      </c>
      <c r="L27" s="1">
        <v>24</v>
      </c>
      <c r="M27" s="1">
        <v>4</v>
      </c>
      <c r="N27" s="1">
        <v>7</v>
      </c>
      <c r="O27" s="1">
        <v>1</v>
      </c>
      <c r="P27" s="1">
        <v>2</v>
      </c>
      <c r="Q27" s="1">
        <v>2</v>
      </c>
      <c r="R27" s="1">
        <v>0</v>
      </c>
      <c r="S27" s="1">
        <v>4</v>
      </c>
      <c r="T27" s="1">
        <v>6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3</v>
      </c>
      <c r="AB27" s="1">
        <v>11</v>
      </c>
      <c r="AC27" s="1">
        <v>0</v>
      </c>
    </row>
    <row r="28" spans="1:29" x14ac:dyDescent="0.3">
      <c r="A28" s="1">
        <v>7004</v>
      </c>
      <c r="B28" s="1">
        <v>1984</v>
      </c>
      <c r="C28" s="1" t="s">
        <v>31</v>
      </c>
      <c r="D28" s="1" t="s">
        <v>33</v>
      </c>
      <c r="E28" s="1">
        <v>11012</v>
      </c>
      <c r="F28" s="1">
        <v>1</v>
      </c>
      <c r="G28" s="1">
        <v>0</v>
      </c>
      <c r="H28" s="2">
        <v>41349</v>
      </c>
      <c r="I28" s="1">
        <v>82</v>
      </c>
      <c r="J28" s="1">
        <v>24</v>
      </c>
      <c r="K28" s="1">
        <v>3</v>
      </c>
      <c r="L28" s="1">
        <v>26</v>
      </c>
      <c r="M28" s="1">
        <v>7</v>
      </c>
      <c r="N28" s="1">
        <v>1</v>
      </c>
      <c r="O28" s="1">
        <v>23</v>
      </c>
      <c r="P28" s="1">
        <v>3</v>
      </c>
      <c r="Q28" s="1">
        <v>3</v>
      </c>
      <c r="R28" s="1">
        <v>1</v>
      </c>
      <c r="S28" s="1">
        <v>2</v>
      </c>
      <c r="T28" s="1">
        <v>9</v>
      </c>
      <c r="U28" s="1">
        <v>1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3</v>
      </c>
      <c r="AB28" s="1">
        <v>11</v>
      </c>
      <c r="AC28" s="1">
        <v>0</v>
      </c>
    </row>
    <row r="29" spans="1:29" x14ac:dyDescent="0.3">
      <c r="A29" s="1">
        <v>8091</v>
      </c>
      <c r="B29" s="1">
        <v>1956</v>
      </c>
      <c r="C29" s="1" t="s">
        <v>31</v>
      </c>
      <c r="D29" s="1" t="s">
        <v>30</v>
      </c>
      <c r="E29" s="1">
        <v>63943</v>
      </c>
      <c r="F29" s="1">
        <v>0</v>
      </c>
      <c r="G29" s="1">
        <v>1</v>
      </c>
      <c r="H29" s="2">
        <v>41154</v>
      </c>
      <c r="I29" s="1">
        <v>50</v>
      </c>
      <c r="J29" s="1">
        <v>423</v>
      </c>
      <c r="K29" s="1">
        <v>184</v>
      </c>
      <c r="L29" s="1">
        <v>368</v>
      </c>
      <c r="M29" s="1">
        <v>13</v>
      </c>
      <c r="N29" s="1">
        <v>97</v>
      </c>
      <c r="O29" s="1">
        <v>21</v>
      </c>
      <c r="P29" s="1">
        <v>1</v>
      </c>
      <c r="Q29" s="1">
        <v>6</v>
      </c>
      <c r="R29" s="1">
        <v>4</v>
      </c>
      <c r="S29" s="1">
        <v>6</v>
      </c>
      <c r="T29" s="1">
        <v>5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3</v>
      </c>
      <c r="AB29" s="1">
        <v>11</v>
      </c>
      <c r="AC29" s="1">
        <v>0</v>
      </c>
    </row>
    <row r="30" spans="1:29" x14ac:dyDescent="0.3">
      <c r="A30" s="1">
        <v>6281</v>
      </c>
      <c r="B30" s="1">
        <v>1966</v>
      </c>
      <c r="C30" s="1" t="s">
        <v>31</v>
      </c>
      <c r="D30" s="1" t="s">
        <v>32</v>
      </c>
      <c r="E30" s="1">
        <v>55686</v>
      </c>
      <c r="F30" s="1">
        <v>0</v>
      </c>
      <c r="G30" s="1">
        <v>1</v>
      </c>
      <c r="H30" s="2">
        <v>41319</v>
      </c>
      <c r="I30" s="1">
        <v>27</v>
      </c>
      <c r="J30" s="1">
        <v>673</v>
      </c>
      <c r="K30" s="1">
        <v>0</v>
      </c>
      <c r="L30" s="1">
        <v>199</v>
      </c>
      <c r="M30" s="1">
        <v>37</v>
      </c>
      <c r="N30" s="1">
        <v>47</v>
      </c>
      <c r="O30" s="1">
        <v>26</v>
      </c>
      <c r="P30" s="1">
        <v>2</v>
      </c>
      <c r="Q30" s="1">
        <v>6</v>
      </c>
      <c r="R30" s="1">
        <v>3</v>
      </c>
      <c r="S30" s="1">
        <v>5</v>
      </c>
      <c r="T30" s="1">
        <v>4</v>
      </c>
      <c r="U30" s="1">
        <v>1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3</v>
      </c>
      <c r="AB30" s="1">
        <v>11</v>
      </c>
      <c r="AC30" s="1">
        <v>0</v>
      </c>
    </row>
    <row r="31" spans="1:29" x14ac:dyDescent="0.3">
      <c r="A31" s="1">
        <v>3979</v>
      </c>
      <c r="B31" s="1">
        <v>1983</v>
      </c>
      <c r="C31" s="1" t="s">
        <v>36</v>
      </c>
      <c r="D31" s="1" t="s">
        <v>32</v>
      </c>
      <c r="E31" s="1">
        <v>90687</v>
      </c>
      <c r="F31" s="1">
        <v>0</v>
      </c>
      <c r="G31" s="1">
        <v>0</v>
      </c>
      <c r="H31" s="2">
        <v>41416</v>
      </c>
      <c r="I31" s="1">
        <v>98</v>
      </c>
      <c r="J31" s="1">
        <v>982</v>
      </c>
      <c r="K31" s="1">
        <v>17</v>
      </c>
      <c r="L31" s="1">
        <v>672</v>
      </c>
      <c r="M31" s="1">
        <v>23</v>
      </c>
      <c r="N31" s="1">
        <v>34</v>
      </c>
      <c r="O31" s="1">
        <v>51</v>
      </c>
      <c r="P31" s="1">
        <v>1</v>
      </c>
      <c r="Q31" s="1">
        <v>6</v>
      </c>
      <c r="R31" s="1">
        <v>2</v>
      </c>
      <c r="S31" s="1">
        <v>8</v>
      </c>
      <c r="T31" s="1">
        <v>2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3</v>
      </c>
      <c r="AB31" s="1">
        <v>11</v>
      </c>
      <c r="AC31" s="1">
        <v>1</v>
      </c>
    </row>
    <row r="32" spans="1:29" x14ac:dyDescent="0.3">
      <c r="A32" s="1">
        <v>4767</v>
      </c>
      <c r="B32" s="1">
        <v>1965</v>
      </c>
      <c r="C32" s="1" t="s">
        <v>29</v>
      </c>
      <c r="D32" s="1" t="s">
        <v>30</v>
      </c>
      <c r="E32" s="1">
        <v>70924</v>
      </c>
      <c r="F32" s="1">
        <v>0</v>
      </c>
      <c r="G32" s="1">
        <v>0</v>
      </c>
      <c r="H32" s="2">
        <v>41736</v>
      </c>
      <c r="I32" s="1">
        <v>41</v>
      </c>
      <c r="J32" s="1">
        <v>635</v>
      </c>
      <c r="K32" s="1">
        <v>114</v>
      </c>
      <c r="L32" s="1">
        <v>254</v>
      </c>
      <c r="M32" s="1">
        <v>132</v>
      </c>
      <c r="N32" s="1">
        <v>152</v>
      </c>
      <c r="O32" s="1">
        <v>76</v>
      </c>
      <c r="P32" s="1">
        <v>1</v>
      </c>
      <c r="Q32" s="1">
        <v>6</v>
      </c>
      <c r="R32" s="1">
        <v>6</v>
      </c>
      <c r="S32" s="1">
        <v>7</v>
      </c>
      <c r="T32" s="1">
        <v>3</v>
      </c>
      <c r="U32" s="1">
        <v>0</v>
      </c>
      <c r="V32" s="1">
        <v>0</v>
      </c>
      <c r="W32" s="1">
        <v>1</v>
      </c>
      <c r="X32" s="1">
        <v>0</v>
      </c>
      <c r="Y32" s="1">
        <v>0</v>
      </c>
      <c r="Z32" s="1">
        <v>0</v>
      </c>
      <c r="AA32" s="1">
        <v>3</v>
      </c>
      <c r="AB32" s="1">
        <v>11</v>
      </c>
      <c r="AC32" s="1">
        <v>0</v>
      </c>
    </row>
    <row r="33" spans="1:29" x14ac:dyDescent="0.3">
      <c r="A33" s="1">
        <v>10475</v>
      </c>
      <c r="B33" s="1">
        <v>1970</v>
      </c>
      <c r="C33" s="1" t="s">
        <v>34</v>
      </c>
      <c r="D33" s="1" t="s">
        <v>35</v>
      </c>
      <c r="F33" s="1">
        <v>0</v>
      </c>
      <c r="G33" s="1">
        <v>1</v>
      </c>
      <c r="H33" s="2">
        <v>41365</v>
      </c>
      <c r="I33" s="1">
        <v>39</v>
      </c>
      <c r="J33" s="1">
        <v>187</v>
      </c>
      <c r="K33" s="1">
        <v>5</v>
      </c>
      <c r="L33" s="1">
        <v>65</v>
      </c>
      <c r="M33" s="1">
        <v>26</v>
      </c>
      <c r="N33" s="1">
        <v>20</v>
      </c>
      <c r="O33" s="1">
        <v>14</v>
      </c>
      <c r="P33" s="1">
        <v>2</v>
      </c>
      <c r="Q33" s="1">
        <v>4</v>
      </c>
      <c r="R33" s="1">
        <v>2</v>
      </c>
      <c r="S33" s="1">
        <v>6</v>
      </c>
      <c r="T33" s="1">
        <v>5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11</v>
      </c>
      <c r="AC33" s="1">
        <v>0</v>
      </c>
    </row>
    <row r="34" spans="1:29" x14ac:dyDescent="0.3">
      <c r="A34" s="1">
        <v>961</v>
      </c>
      <c r="B34" s="1">
        <v>1972</v>
      </c>
      <c r="C34" s="1" t="s">
        <v>31</v>
      </c>
      <c r="D34" s="1" t="s">
        <v>30</v>
      </c>
      <c r="E34" s="1">
        <v>74716</v>
      </c>
      <c r="F34" s="1">
        <v>0</v>
      </c>
      <c r="G34" s="1">
        <v>1</v>
      </c>
      <c r="H34" s="2">
        <v>41529</v>
      </c>
      <c r="I34" s="1">
        <v>92</v>
      </c>
      <c r="J34" s="1">
        <v>133</v>
      </c>
      <c r="K34" s="1">
        <v>27</v>
      </c>
      <c r="L34" s="1">
        <v>421</v>
      </c>
      <c r="M34" s="1">
        <v>13</v>
      </c>
      <c r="N34" s="1">
        <v>195</v>
      </c>
      <c r="O34" s="1">
        <v>71</v>
      </c>
      <c r="P34" s="1">
        <v>2</v>
      </c>
      <c r="Q34" s="1">
        <v>7</v>
      </c>
      <c r="R34" s="1">
        <v>3</v>
      </c>
      <c r="S34" s="1">
        <v>5</v>
      </c>
      <c r="T34" s="1">
        <v>4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3</v>
      </c>
      <c r="AB34" s="1">
        <v>11</v>
      </c>
      <c r="AC34" s="1">
        <v>0</v>
      </c>
    </row>
    <row r="35" spans="1:29" x14ac:dyDescent="0.3">
      <c r="A35" s="1">
        <v>7275</v>
      </c>
      <c r="B35" s="1">
        <v>1971</v>
      </c>
      <c r="C35" s="1" t="s">
        <v>34</v>
      </c>
      <c r="D35" s="1" t="s">
        <v>33</v>
      </c>
      <c r="E35" s="1">
        <v>33316</v>
      </c>
      <c r="F35" s="1">
        <v>1</v>
      </c>
      <c r="G35" s="1">
        <v>1</v>
      </c>
      <c r="H35" s="2">
        <v>41551</v>
      </c>
      <c r="I35" s="1">
        <v>34</v>
      </c>
      <c r="J35" s="1">
        <v>79</v>
      </c>
      <c r="K35" s="1">
        <v>1</v>
      </c>
      <c r="L35" s="1">
        <v>31</v>
      </c>
      <c r="M35" s="1">
        <v>4</v>
      </c>
      <c r="N35" s="1">
        <v>4</v>
      </c>
      <c r="O35" s="1">
        <v>12</v>
      </c>
      <c r="P35" s="1">
        <v>3</v>
      </c>
      <c r="Q35" s="1">
        <v>2</v>
      </c>
      <c r="R35" s="1">
        <v>1</v>
      </c>
      <c r="S35" s="1">
        <v>4</v>
      </c>
      <c r="T35" s="1">
        <v>6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3</v>
      </c>
      <c r="AB35" s="1">
        <v>11</v>
      </c>
      <c r="AC35" s="1">
        <v>0</v>
      </c>
    </row>
    <row r="36" spans="1:29" x14ac:dyDescent="0.3">
      <c r="A36" s="1">
        <v>3074</v>
      </c>
      <c r="B36" s="1">
        <v>1984</v>
      </c>
      <c r="C36" s="1" t="s">
        <v>36</v>
      </c>
      <c r="D36" s="1" t="s">
        <v>30</v>
      </c>
      <c r="E36" s="1">
        <v>70643</v>
      </c>
      <c r="F36" s="1">
        <v>0</v>
      </c>
      <c r="G36" s="1">
        <v>0</v>
      </c>
      <c r="H36" s="2">
        <v>41197</v>
      </c>
      <c r="I36" s="1">
        <v>66</v>
      </c>
      <c r="J36" s="1">
        <v>1218</v>
      </c>
      <c r="K36" s="1">
        <v>107</v>
      </c>
      <c r="L36" s="1">
        <v>304</v>
      </c>
      <c r="M36" s="1">
        <v>23</v>
      </c>
      <c r="N36" s="1">
        <v>143</v>
      </c>
      <c r="O36" s="1">
        <v>33</v>
      </c>
      <c r="P36" s="1">
        <v>1</v>
      </c>
      <c r="Q36" s="1">
        <v>5</v>
      </c>
      <c r="R36" s="1">
        <v>8</v>
      </c>
      <c r="S36" s="1">
        <v>4</v>
      </c>
      <c r="T36" s="1">
        <v>6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3</v>
      </c>
      <c r="AB36" s="1">
        <v>11</v>
      </c>
      <c r="AC36" s="1">
        <v>1</v>
      </c>
    </row>
    <row r="37" spans="1:29" x14ac:dyDescent="0.3">
      <c r="A37" s="1">
        <v>10868</v>
      </c>
      <c r="B37" s="1">
        <v>1951</v>
      </c>
      <c r="C37" s="1" t="s">
        <v>31</v>
      </c>
      <c r="D37" s="1" t="s">
        <v>37</v>
      </c>
      <c r="E37" s="1">
        <v>70792</v>
      </c>
      <c r="F37" s="1">
        <v>0</v>
      </c>
      <c r="G37" s="1">
        <v>0</v>
      </c>
      <c r="H37" s="2">
        <v>41311</v>
      </c>
      <c r="I37" s="1">
        <v>82</v>
      </c>
      <c r="J37" s="1">
        <v>344</v>
      </c>
      <c r="K37" s="1">
        <v>45</v>
      </c>
      <c r="L37" s="1">
        <v>654</v>
      </c>
      <c r="M37" s="1">
        <v>104</v>
      </c>
      <c r="N37" s="1">
        <v>11</v>
      </c>
      <c r="O37" s="1">
        <v>114</v>
      </c>
      <c r="P37" s="1">
        <v>2</v>
      </c>
      <c r="Q37" s="1">
        <v>3</v>
      </c>
      <c r="R37" s="1">
        <v>4</v>
      </c>
      <c r="S37" s="1">
        <v>10</v>
      </c>
      <c r="T37" s="1">
        <v>3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3</v>
      </c>
      <c r="AB37" s="1">
        <v>11</v>
      </c>
      <c r="AC37" s="1">
        <v>0</v>
      </c>
    </row>
    <row r="38" spans="1:29" x14ac:dyDescent="0.3">
      <c r="A38" s="1">
        <v>9905</v>
      </c>
      <c r="B38" s="1">
        <v>1952</v>
      </c>
      <c r="C38" s="1" t="s">
        <v>31</v>
      </c>
      <c r="D38" s="1" t="s">
        <v>35</v>
      </c>
      <c r="E38" s="1">
        <v>34074</v>
      </c>
      <c r="F38" s="1">
        <v>1</v>
      </c>
      <c r="G38" s="1">
        <v>1</v>
      </c>
      <c r="H38" s="2">
        <v>41468</v>
      </c>
      <c r="I38" s="1">
        <v>69</v>
      </c>
      <c r="J38" s="1">
        <v>135</v>
      </c>
      <c r="K38" s="1">
        <v>1</v>
      </c>
      <c r="L38" s="1">
        <v>41</v>
      </c>
      <c r="M38" s="1">
        <v>10</v>
      </c>
      <c r="N38" s="1">
        <v>1</v>
      </c>
      <c r="O38" s="1">
        <v>67</v>
      </c>
      <c r="P38" s="1">
        <v>5</v>
      </c>
      <c r="Q38" s="1">
        <v>3</v>
      </c>
      <c r="R38" s="1">
        <v>3</v>
      </c>
      <c r="S38" s="1">
        <v>3</v>
      </c>
      <c r="T38" s="1">
        <v>6</v>
      </c>
      <c r="U38" s="1">
        <v>1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3</v>
      </c>
      <c r="AB38" s="1">
        <v>11</v>
      </c>
      <c r="AC38" s="1">
        <v>0</v>
      </c>
    </row>
    <row r="39" spans="1:29" x14ac:dyDescent="0.3">
      <c r="A39" s="1">
        <v>7019</v>
      </c>
      <c r="B39" s="1">
        <v>1963</v>
      </c>
      <c r="C39" s="1" t="s">
        <v>31</v>
      </c>
      <c r="D39" s="1" t="s">
        <v>35</v>
      </c>
      <c r="E39" s="1">
        <v>54414</v>
      </c>
      <c r="F39" s="1">
        <v>1</v>
      </c>
      <c r="G39" s="1">
        <v>1</v>
      </c>
      <c r="H39" s="2">
        <v>41297</v>
      </c>
      <c r="I39" s="1">
        <v>49</v>
      </c>
      <c r="J39" s="1">
        <v>109</v>
      </c>
      <c r="K39" s="1">
        <v>18</v>
      </c>
      <c r="L39" s="1">
        <v>16</v>
      </c>
      <c r="M39" s="1">
        <v>24</v>
      </c>
      <c r="N39" s="1">
        <v>26</v>
      </c>
      <c r="O39" s="1">
        <v>18</v>
      </c>
      <c r="P39" s="1">
        <v>4</v>
      </c>
      <c r="Q39" s="1">
        <v>3</v>
      </c>
      <c r="R39" s="1">
        <v>1</v>
      </c>
      <c r="S39" s="1">
        <v>5</v>
      </c>
      <c r="T39" s="1">
        <v>4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3</v>
      </c>
      <c r="AB39" s="1">
        <v>11</v>
      </c>
      <c r="AC39" s="1">
        <v>0</v>
      </c>
    </row>
    <row r="40" spans="1:29" x14ac:dyDescent="0.3">
      <c r="A40" s="1">
        <v>1459</v>
      </c>
      <c r="B40" s="1">
        <v>1966</v>
      </c>
      <c r="C40" s="1" t="s">
        <v>36</v>
      </c>
      <c r="D40" s="1" t="s">
        <v>30</v>
      </c>
      <c r="E40" s="1">
        <v>69063</v>
      </c>
      <c r="F40" s="1">
        <v>0</v>
      </c>
      <c r="G40" s="1">
        <v>1</v>
      </c>
      <c r="H40" s="2">
        <v>41220</v>
      </c>
      <c r="I40" s="1">
        <v>16</v>
      </c>
      <c r="J40" s="1">
        <v>666</v>
      </c>
      <c r="K40" s="1">
        <v>35</v>
      </c>
      <c r="L40" s="1">
        <v>124</v>
      </c>
      <c r="M40" s="1">
        <v>69</v>
      </c>
      <c r="N40" s="1">
        <v>8</v>
      </c>
      <c r="O40" s="1">
        <v>26</v>
      </c>
      <c r="P40" s="1">
        <v>1</v>
      </c>
      <c r="Q40" s="1">
        <v>5</v>
      </c>
      <c r="R40" s="1">
        <v>3</v>
      </c>
      <c r="S40" s="1">
        <v>5</v>
      </c>
      <c r="T40" s="1">
        <v>3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3</v>
      </c>
      <c r="AB40" s="1">
        <v>11</v>
      </c>
      <c r="AC40" s="1">
        <v>0</v>
      </c>
    </row>
    <row r="41" spans="1:29" x14ac:dyDescent="0.3">
      <c r="A41" s="1">
        <v>4356</v>
      </c>
      <c r="B41" s="1">
        <v>1971</v>
      </c>
      <c r="C41" s="1" t="s">
        <v>31</v>
      </c>
      <c r="D41" s="1" t="s">
        <v>35</v>
      </c>
      <c r="E41" s="1">
        <v>71819</v>
      </c>
      <c r="F41" s="1">
        <v>0</v>
      </c>
      <c r="G41" s="1">
        <v>1</v>
      </c>
      <c r="H41" s="2">
        <v>41514</v>
      </c>
      <c r="I41" s="1">
        <v>70</v>
      </c>
      <c r="J41" s="1">
        <v>1224</v>
      </c>
      <c r="K41" s="1">
        <v>28</v>
      </c>
      <c r="L41" s="1">
        <v>140</v>
      </c>
      <c r="M41" s="1">
        <v>0</v>
      </c>
      <c r="N41" s="1">
        <v>14</v>
      </c>
      <c r="O41" s="1">
        <v>168</v>
      </c>
      <c r="P41" s="1">
        <v>3</v>
      </c>
      <c r="Q41" s="1">
        <v>3</v>
      </c>
      <c r="R41" s="1">
        <v>3</v>
      </c>
      <c r="S41" s="1">
        <v>5</v>
      </c>
      <c r="T41" s="1">
        <v>6</v>
      </c>
      <c r="U41" s="1">
        <v>0</v>
      </c>
      <c r="V41" s="1">
        <v>1</v>
      </c>
      <c r="W41" s="1">
        <v>1</v>
      </c>
      <c r="X41" s="1">
        <v>0</v>
      </c>
      <c r="Y41" s="1">
        <v>0</v>
      </c>
      <c r="Z41" s="1">
        <v>0</v>
      </c>
      <c r="AA41" s="1">
        <v>3</v>
      </c>
      <c r="AB41" s="1">
        <v>11</v>
      </c>
      <c r="AC41" s="1">
        <v>0</v>
      </c>
    </row>
    <row r="42" spans="1:29" x14ac:dyDescent="0.3">
      <c r="A42" s="1">
        <v>7055</v>
      </c>
      <c r="B42" s="1">
        <v>1952</v>
      </c>
      <c r="C42" s="1" t="s">
        <v>36</v>
      </c>
      <c r="D42" s="1" t="s">
        <v>35</v>
      </c>
      <c r="E42" s="1">
        <v>61010</v>
      </c>
      <c r="F42" s="1">
        <v>0</v>
      </c>
      <c r="G42" s="1">
        <v>1</v>
      </c>
      <c r="H42" s="2">
        <v>41191</v>
      </c>
      <c r="I42" s="1">
        <v>57</v>
      </c>
      <c r="J42" s="1">
        <v>888</v>
      </c>
      <c r="K42" s="1">
        <v>0</v>
      </c>
      <c r="L42" s="1">
        <v>57</v>
      </c>
      <c r="M42" s="1">
        <v>0</v>
      </c>
      <c r="N42" s="1">
        <v>0</v>
      </c>
      <c r="O42" s="1">
        <v>76</v>
      </c>
      <c r="P42" s="1">
        <v>2</v>
      </c>
      <c r="Q42" s="1">
        <v>8</v>
      </c>
      <c r="R42" s="1">
        <v>5</v>
      </c>
      <c r="S42" s="1">
        <v>11</v>
      </c>
      <c r="T42" s="1">
        <v>5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3</v>
      </c>
      <c r="AB42" s="1">
        <v>11</v>
      </c>
      <c r="AC42" s="1">
        <v>0</v>
      </c>
    </row>
    <row r="43" spans="1:29" x14ac:dyDescent="0.3">
      <c r="A43" s="1">
        <v>5610</v>
      </c>
      <c r="B43" s="1">
        <v>1965</v>
      </c>
      <c r="C43" s="1" t="s">
        <v>31</v>
      </c>
      <c r="D43" s="1" t="s">
        <v>35</v>
      </c>
      <c r="E43" s="1">
        <v>33456</v>
      </c>
      <c r="F43" s="1">
        <v>1</v>
      </c>
      <c r="G43" s="1">
        <v>1</v>
      </c>
      <c r="H43" s="2">
        <v>41750</v>
      </c>
      <c r="I43" s="1">
        <v>58</v>
      </c>
      <c r="J43" s="1">
        <v>7</v>
      </c>
      <c r="K43" s="1">
        <v>3</v>
      </c>
      <c r="L43" s="1">
        <v>10</v>
      </c>
      <c r="M43" s="1">
        <v>8</v>
      </c>
      <c r="N43" s="1">
        <v>1</v>
      </c>
      <c r="O43" s="1">
        <v>7</v>
      </c>
      <c r="P43" s="1">
        <v>2</v>
      </c>
      <c r="Q43" s="1">
        <v>1</v>
      </c>
      <c r="R43" s="1">
        <v>0</v>
      </c>
      <c r="S43" s="1">
        <v>3</v>
      </c>
      <c r="T43" s="1">
        <v>7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3</v>
      </c>
      <c r="AB43" s="1">
        <v>11</v>
      </c>
      <c r="AC43" s="1">
        <v>0</v>
      </c>
    </row>
    <row r="44" spans="1:29" x14ac:dyDescent="0.3">
      <c r="A44" s="1">
        <v>8210</v>
      </c>
      <c r="B44" s="1">
        <v>1975</v>
      </c>
      <c r="C44" s="1" t="s">
        <v>34</v>
      </c>
      <c r="D44" s="1" t="s">
        <v>30</v>
      </c>
      <c r="E44" s="1">
        <v>54730</v>
      </c>
      <c r="F44" s="1">
        <v>0</v>
      </c>
      <c r="G44" s="1">
        <v>1</v>
      </c>
      <c r="H44" s="2">
        <v>41501</v>
      </c>
      <c r="I44" s="1">
        <v>64</v>
      </c>
      <c r="J44" s="1">
        <v>318</v>
      </c>
      <c r="K44" s="1">
        <v>3</v>
      </c>
      <c r="L44" s="1">
        <v>17</v>
      </c>
      <c r="M44" s="1">
        <v>4</v>
      </c>
      <c r="N44" s="1">
        <v>7</v>
      </c>
      <c r="O44" s="1">
        <v>56</v>
      </c>
      <c r="P44" s="1">
        <v>5</v>
      </c>
      <c r="Q44" s="1">
        <v>4</v>
      </c>
      <c r="R44" s="1">
        <v>1</v>
      </c>
      <c r="S44" s="1">
        <v>8</v>
      </c>
      <c r="T44" s="1">
        <v>4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3</v>
      </c>
      <c r="AB44" s="1">
        <v>11</v>
      </c>
      <c r="AC44" s="1">
        <v>0</v>
      </c>
    </row>
    <row r="45" spans="1:29" x14ac:dyDescent="0.3">
      <c r="A45" s="1">
        <v>6340</v>
      </c>
      <c r="B45" s="1">
        <v>1985</v>
      </c>
      <c r="C45" s="1" t="s">
        <v>31</v>
      </c>
      <c r="D45" s="1" t="s">
        <v>33</v>
      </c>
      <c r="E45" s="1">
        <v>29938</v>
      </c>
      <c r="F45" s="1">
        <v>1</v>
      </c>
      <c r="G45" s="1">
        <v>0</v>
      </c>
      <c r="H45" s="2">
        <v>41574</v>
      </c>
      <c r="I45" s="1">
        <v>52</v>
      </c>
      <c r="J45" s="1">
        <v>3</v>
      </c>
      <c r="K45" s="1">
        <v>3</v>
      </c>
      <c r="L45" s="1">
        <v>7</v>
      </c>
      <c r="M45" s="1">
        <v>0</v>
      </c>
      <c r="N45" s="1">
        <v>2</v>
      </c>
      <c r="O45" s="1">
        <v>11</v>
      </c>
      <c r="P45" s="1">
        <v>2</v>
      </c>
      <c r="Q45" s="1">
        <v>1</v>
      </c>
      <c r="R45" s="1">
        <v>0</v>
      </c>
      <c r="S45" s="1">
        <v>3</v>
      </c>
      <c r="T45" s="1">
        <v>6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3</v>
      </c>
      <c r="AB45" s="1">
        <v>11</v>
      </c>
      <c r="AC45" s="1">
        <v>0</v>
      </c>
    </row>
    <row r="46" spans="1:29" x14ac:dyDescent="0.3">
      <c r="A46" s="1">
        <v>9703</v>
      </c>
      <c r="B46" s="1">
        <v>1970</v>
      </c>
      <c r="C46" s="1" t="s">
        <v>36</v>
      </c>
      <c r="D46" s="1" t="s">
        <v>30</v>
      </c>
      <c r="E46" s="1">
        <v>38097</v>
      </c>
      <c r="F46" s="1">
        <v>1</v>
      </c>
      <c r="G46" s="1">
        <v>1</v>
      </c>
      <c r="H46" s="2">
        <v>41197</v>
      </c>
      <c r="I46" s="1">
        <v>70</v>
      </c>
      <c r="J46" s="1">
        <v>77</v>
      </c>
      <c r="K46" s="1">
        <v>2</v>
      </c>
      <c r="L46" s="1">
        <v>35</v>
      </c>
      <c r="M46" s="1">
        <v>0</v>
      </c>
      <c r="N46" s="1">
        <v>1</v>
      </c>
      <c r="O46" s="1">
        <v>69</v>
      </c>
      <c r="P46" s="1">
        <v>4</v>
      </c>
      <c r="Q46" s="1">
        <v>3</v>
      </c>
      <c r="R46" s="1">
        <v>2</v>
      </c>
      <c r="S46" s="1">
        <v>2</v>
      </c>
      <c r="T46" s="1">
        <v>7</v>
      </c>
      <c r="U46" s="1">
        <v>1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3</v>
      </c>
      <c r="AB46" s="1">
        <v>11</v>
      </c>
      <c r="AC46" s="1">
        <v>1</v>
      </c>
    </row>
    <row r="47" spans="1:29" x14ac:dyDescent="0.3">
      <c r="A47" s="1">
        <v>9370</v>
      </c>
      <c r="B47" s="1">
        <v>1945</v>
      </c>
      <c r="C47" s="1" t="s">
        <v>36</v>
      </c>
      <c r="D47" s="1" t="s">
        <v>30</v>
      </c>
      <c r="E47" s="1">
        <v>65846</v>
      </c>
      <c r="F47" s="1">
        <v>0</v>
      </c>
      <c r="G47" s="1">
        <v>0</v>
      </c>
      <c r="H47" s="2">
        <v>41411</v>
      </c>
      <c r="I47" s="1">
        <v>68</v>
      </c>
      <c r="J47" s="1">
        <v>562</v>
      </c>
      <c r="K47" s="1">
        <v>81</v>
      </c>
      <c r="L47" s="1">
        <v>276</v>
      </c>
      <c r="M47" s="1">
        <v>80</v>
      </c>
      <c r="N47" s="1">
        <v>40</v>
      </c>
      <c r="O47" s="1">
        <v>81</v>
      </c>
      <c r="P47" s="1">
        <v>1</v>
      </c>
      <c r="Q47" s="1">
        <v>6</v>
      </c>
      <c r="R47" s="1">
        <v>3</v>
      </c>
      <c r="S47" s="1">
        <v>6</v>
      </c>
      <c r="T47" s="1">
        <v>4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3</v>
      </c>
      <c r="AB47" s="1">
        <v>11</v>
      </c>
      <c r="AC47" s="1">
        <v>0</v>
      </c>
    </row>
    <row r="48" spans="1:29" x14ac:dyDescent="0.3">
      <c r="A48" s="1">
        <v>10352</v>
      </c>
      <c r="B48" s="1">
        <v>1963</v>
      </c>
      <c r="C48" s="1" t="s">
        <v>31</v>
      </c>
      <c r="D48" s="1" t="s">
        <v>37</v>
      </c>
      <c r="E48" s="1">
        <v>34213</v>
      </c>
      <c r="F48" s="1">
        <v>1</v>
      </c>
      <c r="G48" s="1">
        <v>1</v>
      </c>
      <c r="H48" s="2">
        <v>41159</v>
      </c>
      <c r="I48" s="1">
        <v>2</v>
      </c>
      <c r="J48" s="1">
        <v>50</v>
      </c>
      <c r="K48" s="1">
        <v>4</v>
      </c>
      <c r="L48" s="1">
        <v>28</v>
      </c>
      <c r="M48" s="1">
        <v>6</v>
      </c>
      <c r="N48" s="1">
        <v>3</v>
      </c>
      <c r="O48" s="1">
        <v>26</v>
      </c>
      <c r="P48" s="1">
        <v>3</v>
      </c>
      <c r="Q48" s="1">
        <v>3</v>
      </c>
      <c r="R48" s="1">
        <v>1</v>
      </c>
      <c r="S48" s="1">
        <v>2</v>
      </c>
      <c r="T48" s="1">
        <v>9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3</v>
      </c>
      <c r="AB48" s="1">
        <v>11</v>
      </c>
      <c r="AC48" s="1">
        <v>1</v>
      </c>
    </row>
    <row r="49" spans="1:29" x14ac:dyDescent="0.3">
      <c r="A49" s="1">
        <v>7613</v>
      </c>
      <c r="B49" s="1">
        <v>1974</v>
      </c>
      <c r="C49" s="1" t="s">
        <v>29</v>
      </c>
      <c r="D49" s="1" t="s">
        <v>35</v>
      </c>
      <c r="E49" s="1">
        <v>49669</v>
      </c>
      <c r="F49" s="1">
        <v>1</v>
      </c>
      <c r="G49" s="1">
        <v>0</v>
      </c>
      <c r="H49" s="2">
        <v>41783</v>
      </c>
      <c r="I49" s="1">
        <v>97</v>
      </c>
      <c r="J49" s="1">
        <v>166</v>
      </c>
      <c r="K49" s="1">
        <v>5</v>
      </c>
      <c r="L49" s="1">
        <v>107</v>
      </c>
      <c r="M49" s="1">
        <v>11</v>
      </c>
      <c r="N49" s="1">
        <v>8</v>
      </c>
      <c r="O49" s="1">
        <v>29</v>
      </c>
      <c r="P49" s="1">
        <v>2</v>
      </c>
      <c r="Q49" s="1">
        <v>5</v>
      </c>
      <c r="R49" s="1">
        <v>1</v>
      </c>
      <c r="S49" s="1">
        <v>6</v>
      </c>
      <c r="T49" s="1">
        <v>6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3</v>
      </c>
      <c r="AB49" s="1">
        <v>11</v>
      </c>
      <c r="AC49" s="1">
        <v>0</v>
      </c>
    </row>
    <row r="50" spans="1:29" x14ac:dyDescent="0.3">
      <c r="A50" s="1">
        <v>10319</v>
      </c>
      <c r="B50" s="1">
        <v>1971</v>
      </c>
      <c r="C50" s="1" t="s">
        <v>31</v>
      </c>
      <c r="D50" s="1" t="s">
        <v>30</v>
      </c>
      <c r="E50" s="1">
        <v>66303</v>
      </c>
      <c r="F50" s="1">
        <v>0</v>
      </c>
      <c r="G50" s="1">
        <v>1</v>
      </c>
      <c r="H50" s="2">
        <v>41331</v>
      </c>
      <c r="I50" s="1">
        <v>56</v>
      </c>
      <c r="J50" s="1">
        <v>1090</v>
      </c>
      <c r="K50" s="1">
        <v>12</v>
      </c>
      <c r="L50" s="1">
        <v>96</v>
      </c>
      <c r="M50" s="1">
        <v>16</v>
      </c>
      <c r="N50" s="1">
        <v>12</v>
      </c>
      <c r="O50" s="1">
        <v>60</v>
      </c>
      <c r="P50" s="1">
        <v>4</v>
      </c>
      <c r="Q50" s="1">
        <v>3</v>
      </c>
      <c r="R50" s="1">
        <v>4</v>
      </c>
      <c r="S50" s="1">
        <v>11</v>
      </c>
      <c r="T50" s="1">
        <v>8</v>
      </c>
      <c r="U50" s="1">
        <v>0</v>
      </c>
      <c r="V50" s="1">
        <v>1</v>
      </c>
      <c r="W50" s="1">
        <v>0</v>
      </c>
      <c r="X50" s="1">
        <v>0</v>
      </c>
      <c r="Y50" s="1">
        <v>0</v>
      </c>
      <c r="Z50" s="1">
        <v>0</v>
      </c>
      <c r="AA50" s="1">
        <v>3</v>
      </c>
      <c r="AB50" s="1">
        <v>11</v>
      </c>
      <c r="AC50" s="1">
        <v>0</v>
      </c>
    </row>
    <row r="51" spans="1:29" x14ac:dyDescent="0.3">
      <c r="A51" s="1">
        <v>3518</v>
      </c>
      <c r="B51" s="1">
        <v>1983</v>
      </c>
      <c r="C51" s="1" t="s">
        <v>31</v>
      </c>
      <c r="D51" s="1" t="s">
        <v>30</v>
      </c>
      <c r="E51" s="1">
        <v>25271</v>
      </c>
      <c r="F51" s="1">
        <v>1</v>
      </c>
      <c r="G51" s="1">
        <v>0</v>
      </c>
      <c r="H51" s="2">
        <v>41248</v>
      </c>
      <c r="I51" s="1">
        <v>45</v>
      </c>
      <c r="J51" s="1">
        <v>10</v>
      </c>
      <c r="K51" s="1">
        <v>1</v>
      </c>
      <c r="L51" s="1">
        <v>18</v>
      </c>
      <c r="M51" s="1">
        <v>10</v>
      </c>
      <c r="N51" s="1">
        <v>4</v>
      </c>
      <c r="O51" s="1">
        <v>7</v>
      </c>
      <c r="P51" s="1">
        <v>1</v>
      </c>
      <c r="Q51" s="1">
        <v>1</v>
      </c>
      <c r="R51" s="1">
        <v>1</v>
      </c>
      <c r="S51" s="1">
        <v>2</v>
      </c>
      <c r="T51" s="1">
        <v>9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3</v>
      </c>
      <c r="AB51" s="1">
        <v>11</v>
      </c>
      <c r="AC51" s="1">
        <v>0</v>
      </c>
    </row>
    <row r="52" spans="1:29" x14ac:dyDescent="0.3">
      <c r="A52" s="1">
        <v>9530</v>
      </c>
      <c r="B52" s="1">
        <v>1988</v>
      </c>
      <c r="C52" s="1" t="s">
        <v>31</v>
      </c>
      <c r="D52" s="1" t="s">
        <v>30</v>
      </c>
      <c r="E52" s="1">
        <v>24645</v>
      </c>
      <c r="F52" s="1">
        <v>1</v>
      </c>
      <c r="G52" s="1">
        <v>0</v>
      </c>
      <c r="H52" s="2">
        <v>41214</v>
      </c>
      <c r="I52" s="1">
        <v>16</v>
      </c>
      <c r="J52" s="1">
        <v>5</v>
      </c>
      <c r="K52" s="1">
        <v>3</v>
      </c>
      <c r="L52" s="1">
        <v>4</v>
      </c>
      <c r="M52" s="1">
        <v>4</v>
      </c>
      <c r="N52" s="1">
        <v>1</v>
      </c>
      <c r="O52" s="1">
        <v>0</v>
      </c>
      <c r="P52" s="1">
        <v>1</v>
      </c>
      <c r="Q52" s="1">
        <v>1</v>
      </c>
      <c r="R52" s="1">
        <v>0</v>
      </c>
      <c r="S52" s="1">
        <v>2</v>
      </c>
      <c r="T52" s="1">
        <v>8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11</v>
      </c>
      <c r="AC52" s="1">
        <v>0</v>
      </c>
    </row>
    <row r="53" spans="1:29" x14ac:dyDescent="0.3">
      <c r="A53" s="1">
        <v>5049</v>
      </c>
      <c r="B53" s="1">
        <v>1974</v>
      </c>
      <c r="C53" s="1" t="s">
        <v>36</v>
      </c>
      <c r="D53" s="1" t="s">
        <v>35</v>
      </c>
      <c r="E53" s="1">
        <v>30351</v>
      </c>
      <c r="F53" s="1">
        <v>1</v>
      </c>
      <c r="G53" s="1">
        <v>0</v>
      </c>
      <c r="H53" s="2">
        <v>41431</v>
      </c>
      <c r="I53" s="1">
        <v>19</v>
      </c>
      <c r="J53" s="1">
        <v>14</v>
      </c>
      <c r="K53" s="1">
        <v>0</v>
      </c>
      <c r="L53" s="1">
        <v>24</v>
      </c>
      <c r="M53" s="1">
        <v>3</v>
      </c>
      <c r="N53" s="1">
        <v>3</v>
      </c>
      <c r="O53" s="1">
        <v>2</v>
      </c>
      <c r="P53" s="1">
        <v>1</v>
      </c>
      <c r="Q53" s="1">
        <v>3</v>
      </c>
      <c r="R53" s="1">
        <v>0</v>
      </c>
      <c r="S53" s="1">
        <v>2</v>
      </c>
      <c r="T53" s="1">
        <v>9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3</v>
      </c>
      <c r="AB53" s="1">
        <v>11</v>
      </c>
      <c r="AC53" s="1">
        <v>0</v>
      </c>
    </row>
    <row r="54" spans="1:29" x14ac:dyDescent="0.3">
      <c r="A54" s="1">
        <v>4483</v>
      </c>
      <c r="B54" s="1">
        <v>1993</v>
      </c>
      <c r="C54" s="1" t="s">
        <v>31</v>
      </c>
      <c r="D54" s="1" t="s">
        <v>33</v>
      </c>
      <c r="E54" s="1">
        <v>72354</v>
      </c>
      <c r="F54" s="1">
        <v>0</v>
      </c>
      <c r="G54" s="1">
        <v>0</v>
      </c>
      <c r="H54" s="2">
        <v>41381</v>
      </c>
      <c r="I54" s="1">
        <v>67</v>
      </c>
      <c r="J54" s="1">
        <v>315</v>
      </c>
      <c r="K54" s="1">
        <v>26</v>
      </c>
      <c r="L54" s="1">
        <v>473</v>
      </c>
      <c r="M54" s="1">
        <v>220</v>
      </c>
      <c r="N54" s="1">
        <v>12</v>
      </c>
      <c r="O54" s="1">
        <v>182</v>
      </c>
      <c r="P54" s="1">
        <v>1</v>
      </c>
      <c r="Q54" s="1">
        <v>2</v>
      </c>
      <c r="R54" s="1">
        <v>10</v>
      </c>
      <c r="S54" s="1">
        <v>6</v>
      </c>
      <c r="T54" s="1">
        <v>1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3</v>
      </c>
      <c r="AB54" s="1">
        <v>11</v>
      </c>
      <c r="AC54" s="1">
        <v>0</v>
      </c>
    </row>
    <row r="55" spans="1:29" x14ac:dyDescent="0.3">
      <c r="A55" s="1">
        <v>6437</v>
      </c>
      <c r="B55" s="1">
        <v>1985</v>
      </c>
      <c r="C55" s="1" t="s">
        <v>29</v>
      </c>
      <c r="D55" s="1" t="s">
        <v>33</v>
      </c>
      <c r="E55" s="1">
        <v>41473</v>
      </c>
      <c r="F55" s="1">
        <v>1</v>
      </c>
      <c r="G55" s="1">
        <v>0</v>
      </c>
      <c r="H55" s="2">
        <v>41444</v>
      </c>
      <c r="I55" s="1">
        <v>80</v>
      </c>
      <c r="J55" s="1">
        <v>21</v>
      </c>
      <c r="K55" s="1">
        <v>8</v>
      </c>
      <c r="L55" s="1">
        <v>20</v>
      </c>
      <c r="M55" s="1">
        <v>15</v>
      </c>
      <c r="N55" s="1">
        <v>3</v>
      </c>
      <c r="O55" s="1">
        <v>9</v>
      </c>
      <c r="P55" s="1">
        <v>1</v>
      </c>
      <c r="Q55" s="1">
        <v>2</v>
      </c>
      <c r="R55" s="1">
        <v>0</v>
      </c>
      <c r="S55" s="1">
        <v>3</v>
      </c>
      <c r="T55" s="1">
        <v>7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3</v>
      </c>
      <c r="AB55" s="1">
        <v>11</v>
      </c>
      <c r="AC55" s="1">
        <v>0</v>
      </c>
    </row>
    <row r="56" spans="1:29" x14ac:dyDescent="0.3">
      <c r="A56" s="1">
        <v>10870</v>
      </c>
      <c r="B56" s="1">
        <v>1967</v>
      </c>
      <c r="C56" s="1" t="s">
        <v>31</v>
      </c>
      <c r="D56" s="1" t="s">
        <v>30</v>
      </c>
      <c r="E56" s="1">
        <v>61223</v>
      </c>
      <c r="F56" s="1">
        <v>0</v>
      </c>
      <c r="G56" s="1">
        <v>1</v>
      </c>
      <c r="H56" s="2">
        <v>41438</v>
      </c>
      <c r="I56" s="1">
        <v>46</v>
      </c>
      <c r="J56" s="1">
        <v>709</v>
      </c>
      <c r="K56" s="1">
        <v>43</v>
      </c>
      <c r="L56" s="1">
        <v>182</v>
      </c>
      <c r="M56" s="1">
        <v>42</v>
      </c>
      <c r="N56" s="1">
        <v>118</v>
      </c>
      <c r="O56" s="1">
        <v>247</v>
      </c>
      <c r="P56" s="1">
        <v>2</v>
      </c>
      <c r="Q56" s="1">
        <v>9</v>
      </c>
      <c r="R56" s="1">
        <v>3</v>
      </c>
      <c r="S56" s="1">
        <v>4</v>
      </c>
      <c r="T56" s="1">
        <v>5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3</v>
      </c>
      <c r="AB56" s="1">
        <v>11</v>
      </c>
      <c r="AC56" s="1">
        <v>0</v>
      </c>
    </row>
    <row r="57" spans="1:29" x14ac:dyDescent="0.3">
      <c r="A57" s="1">
        <v>5831</v>
      </c>
      <c r="B57" s="1">
        <v>1967</v>
      </c>
      <c r="C57" s="1" t="s">
        <v>31</v>
      </c>
      <c r="D57" s="1" t="s">
        <v>30</v>
      </c>
      <c r="E57" s="1">
        <v>77870</v>
      </c>
      <c r="F57" s="1">
        <v>0</v>
      </c>
      <c r="G57" s="1">
        <v>1</v>
      </c>
      <c r="H57" s="2">
        <v>41143</v>
      </c>
      <c r="I57" s="1">
        <v>93</v>
      </c>
      <c r="J57" s="1">
        <v>1017</v>
      </c>
      <c r="K57" s="1">
        <v>50</v>
      </c>
      <c r="L57" s="1">
        <v>500</v>
      </c>
      <c r="M57" s="1">
        <v>65</v>
      </c>
      <c r="N57" s="1">
        <v>50</v>
      </c>
      <c r="O57" s="1">
        <v>133</v>
      </c>
      <c r="P57" s="1">
        <v>3</v>
      </c>
      <c r="Q57" s="1">
        <v>5</v>
      </c>
      <c r="R57" s="1">
        <v>5</v>
      </c>
      <c r="S57" s="1">
        <v>5</v>
      </c>
      <c r="T57" s="1">
        <v>8</v>
      </c>
      <c r="U57" s="1">
        <v>0</v>
      </c>
      <c r="V57" s="1">
        <v>1</v>
      </c>
      <c r="W57" s="1">
        <v>0</v>
      </c>
      <c r="X57" s="1">
        <v>1</v>
      </c>
      <c r="Y57" s="1">
        <v>0</v>
      </c>
      <c r="Z57" s="1">
        <v>0</v>
      </c>
      <c r="AA57" s="1">
        <v>3</v>
      </c>
      <c r="AB57" s="1">
        <v>11</v>
      </c>
      <c r="AC57" s="1">
        <v>1</v>
      </c>
    </row>
    <row r="58" spans="1:29" x14ac:dyDescent="0.3">
      <c r="A58" s="1">
        <v>2004</v>
      </c>
      <c r="B58" s="1">
        <v>1969</v>
      </c>
      <c r="C58" s="1" t="s">
        <v>31</v>
      </c>
      <c r="D58" s="1" t="s">
        <v>33</v>
      </c>
      <c r="E58" s="1">
        <v>72679</v>
      </c>
      <c r="F58" s="1">
        <v>0</v>
      </c>
      <c r="G58" s="1">
        <v>1</v>
      </c>
      <c r="H58" s="2">
        <v>41535</v>
      </c>
      <c r="I58" s="1">
        <v>65</v>
      </c>
      <c r="J58" s="1">
        <v>619</v>
      </c>
      <c r="K58" s="1">
        <v>54</v>
      </c>
      <c r="L58" s="1">
        <v>260</v>
      </c>
      <c r="M58" s="1">
        <v>127</v>
      </c>
      <c r="N58" s="1">
        <v>54</v>
      </c>
      <c r="O58" s="1">
        <v>54</v>
      </c>
      <c r="P58" s="1">
        <v>1</v>
      </c>
      <c r="Q58" s="1">
        <v>4</v>
      </c>
      <c r="R58" s="1">
        <v>7</v>
      </c>
      <c r="S58" s="1">
        <v>5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3</v>
      </c>
      <c r="AB58" s="1">
        <v>11</v>
      </c>
      <c r="AC58" s="1">
        <v>0</v>
      </c>
    </row>
    <row r="59" spans="1:29" x14ac:dyDescent="0.3">
      <c r="A59" s="1">
        <v>4093</v>
      </c>
      <c r="B59" s="1">
        <v>1975</v>
      </c>
      <c r="C59" s="1" t="s">
        <v>34</v>
      </c>
      <c r="D59" s="1" t="s">
        <v>35</v>
      </c>
      <c r="E59" s="1">
        <v>53253</v>
      </c>
      <c r="F59" s="1">
        <v>1</v>
      </c>
      <c r="G59" s="1">
        <v>1</v>
      </c>
      <c r="H59" s="2">
        <v>41316</v>
      </c>
      <c r="I59" s="1">
        <v>61</v>
      </c>
      <c r="J59" s="1">
        <v>216</v>
      </c>
      <c r="K59" s="1">
        <v>9</v>
      </c>
      <c r="L59" s="1">
        <v>57</v>
      </c>
      <c r="M59" s="1">
        <v>20</v>
      </c>
      <c r="N59" s="1">
        <v>9</v>
      </c>
      <c r="O59" s="1">
        <v>125</v>
      </c>
      <c r="P59" s="1">
        <v>7</v>
      </c>
      <c r="Q59" s="1">
        <v>4</v>
      </c>
      <c r="R59" s="1">
        <v>3</v>
      </c>
      <c r="S59" s="1">
        <v>5</v>
      </c>
      <c r="T59" s="1">
        <v>5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3</v>
      </c>
      <c r="AB59" s="1">
        <v>11</v>
      </c>
      <c r="AC59" s="1">
        <v>0</v>
      </c>
    </row>
    <row r="60" spans="1:29" x14ac:dyDescent="0.3">
      <c r="A60" s="1">
        <v>8397</v>
      </c>
      <c r="B60" s="1">
        <v>1951</v>
      </c>
      <c r="C60" s="1" t="s">
        <v>31</v>
      </c>
      <c r="D60" s="1" t="s">
        <v>30</v>
      </c>
      <c r="E60" s="1">
        <v>44689</v>
      </c>
      <c r="F60" s="1">
        <v>1</v>
      </c>
      <c r="G60" s="1">
        <v>1</v>
      </c>
      <c r="H60" s="2">
        <v>41649</v>
      </c>
      <c r="I60" s="1">
        <v>82</v>
      </c>
      <c r="J60" s="1">
        <v>18</v>
      </c>
      <c r="K60" s="1">
        <v>0</v>
      </c>
      <c r="L60" s="1">
        <v>5</v>
      </c>
      <c r="M60" s="1">
        <v>0</v>
      </c>
      <c r="N60" s="1">
        <v>0</v>
      </c>
      <c r="O60" s="1">
        <v>11</v>
      </c>
      <c r="P60" s="1">
        <v>2</v>
      </c>
      <c r="Q60" s="1">
        <v>1</v>
      </c>
      <c r="R60" s="1">
        <v>1</v>
      </c>
      <c r="S60" s="1">
        <v>2</v>
      </c>
      <c r="T60" s="1">
        <v>7</v>
      </c>
      <c r="U60" s="1">
        <v>1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3</v>
      </c>
      <c r="AB60" s="1">
        <v>11</v>
      </c>
      <c r="AC60" s="1">
        <v>0</v>
      </c>
    </row>
    <row r="61" spans="1:29" x14ac:dyDescent="0.3">
      <c r="A61" s="1">
        <v>55</v>
      </c>
      <c r="B61" s="1">
        <v>1963</v>
      </c>
      <c r="C61" s="1" t="s">
        <v>31</v>
      </c>
      <c r="D61" s="1" t="s">
        <v>35</v>
      </c>
      <c r="E61" s="1">
        <v>56253</v>
      </c>
      <c r="F61" s="1">
        <v>0</v>
      </c>
      <c r="G61" s="1">
        <v>1</v>
      </c>
      <c r="H61" s="2">
        <v>41250</v>
      </c>
      <c r="I61" s="1">
        <v>83</v>
      </c>
      <c r="J61" s="1">
        <v>509</v>
      </c>
      <c r="K61" s="1">
        <v>0</v>
      </c>
      <c r="L61" s="1">
        <v>65</v>
      </c>
      <c r="M61" s="1">
        <v>7</v>
      </c>
      <c r="N61" s="1">
        <v>11</v>
      </c>
      <c r="O61" s="1">
        <v>5</v>
      </c>
      <c r="P61" s="1">
        <v>4</v>
      </c>
      <c r="Q61" s="1">
        <v>7</v>
      </c>
      <c r="R61" s="1">
        <v>2</v>
      </c>
      <c r="S61" s="1">
        <v>9</v>
      </c>
      <c r="T61" s="1">
        <v>6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3</v>
      </c>
      <c r="AB61" s="1">
        <v>11</v>
      </c>
      <c r="AC61" s="1">
        <v>0</v>
      </c>
    </row>
    <row r="62" spans="1:29" x14ac:dyDescent="0.3">
      <c r="A62" s="1">
        <v>492</v>
      </c>
      <c r="B62" s="1">
        <v>1973</v>
      </c>
      <c r="C62" s="1" t="s">
        <v>36</v>
      </c>
      <c r="D62" s="1" t="s">
        <v>38</v>
      </c>
      <c r="E62" s="1">
        <v>48432</v>
      </c>
      <c r="F62" s="1">
        <v>0</v>
      </c>
      <c r="G62" s="1">
        <v>1</v>
      </c>
      <c r="H62" s="2">
        <v>41200</v>
      </c>
      <c r="I62" s="1">
        <v>3</v>
      </c>
      <c r="J62" s="1">
        <v>322</v>
      </c>
      <c r="K62" s="1">
        <v>3</v>
      </c>
      <c r="L62" s="1">
        <v>50</v>
      </c>
      <c r="M62" s="1">
        <v>4</v>
      </c>
      <c r="N62" s="1">
        <v>3</v>
      </c>
      <c r="O62" s="1">
        <v>42</v>
      </c>
      <c r="P62" s="1">
        <v>5</v>
      </c>
      <c r="Q62" s="1">
        <v>7</v>
      </c>
      <c r="R62" s="1">
        <v>1</v>
      </c>
      <c r="S62" s="1">
        <v>6</v>
      </c>
      <c r="T62" s="1">
        <v>8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3</v>
      </c>
      <c r="AB62" s="1">
        <v>11</v>
      </c>
      <c r="AC62" s="1">
        <v>0</v>
      </c>
    </row>
    <row r="63" spans="1:29" x14ac:dyDescent="0.3">
      <c r="A63" s="1">
        <v>11133</v>
      </c>
      <c r="B63" s="1">
        <v>1973</v>
      </c>
      <c r="C63" s="1" t="s">
        <v>36</v>
      </c>
      <c r="D63" s="1" t="s">
        <v>38</v>
      </c>
      <c r="E63" s="1">
        <v>48432</v>
      </c>
      <c r="F63" s="1">
        <v>0</v>
      </c>
      <c r="G63" s="1">
        <v>1</v>
      </c>
      <c r="H63" s="2">
        <v>41200</v>
      </c>
      <c r="I63" s="1">
        <v>3</v>
      </c>
      <c r="J63" s="1">
        <v>322</v>
      </c>
      <c r="K63" s="1">
        <v>3</v>
      </c>
      <c r="L63" s="1">
        <v>50</v>
      </c>
      <c r="M63" s="1">
        <v>4</v>
      </c>
      <c r="N63" s="1">
        <v>3</v>
      </c>
      <c r="O63" s="1">
        <v>42</v>
      </c>
      <c r="P63" s="1">
        <v>5</v>
      </c>
      <c r="Q63" s="1">
        <v>7</v>
      </c>
      <c r="R63" s="1">
        <v>1</v>
      </c>
      <c r="S63" s="1">
        <v>6</v>
      </c>
      <c r="T63" s="1">
        <v>8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3</v>
      </c>
      <c r="AB63" s="1">
        <v>11</v>
      </c>
      <c r="AC63" s="1">
        <v>1</v>
      </c>
    </row>
    <row r="64" spans="1:29" x14ac:dyDescent="0.3">
      <c r="A64" s="1">
        <v>5304</v>
      </c>
      <c r="B64" s="1">
        <v>1974</v>
      </c>
      <c r="C64" s="1" t="s">
        <v>36</v>
      </c>
      <c r="D64" s="1" t="s">
        <v>33</v>
      </c>
      <c r="E64" s="1">
        <v>30899</v>
      </c>
      <c r="F64" s="1">
        <v>1</v>
      </c>
      <c r="G64" s="1">
        <v>0</v>
      </c>
      <c r="H64" s="2">
        <v>41195</v>
      </c>
      <c r="I64" s="1">
        <v>35</v>
      </c>
      <c r="J64" s="1">
        <v>24</v>
      </c>
      <c r="K64" s="1">
        <v>0</v>
      </c>
      <c r="L64" s="1">
        <v>8</v>
      </c>
      <c r="M64" s="1">
        <v>0</v>
      </c>
      <c r="N64" s="1">
        <v>0</v>
      </c>
      <c r="O64" s="1">
        <v>1</v>
      </c>
      <c r="P64" s="1">
        <v>2</v>
      </c>
      <c r="Q64" s="1">
        <v>1</v>
      </c>
      <c r="R64" s="1">
        <v>0</v>
      </c>
      <c r="S64" s="1">
        <v>3</v>
      </c>
      <c r="T64" s="1">
        <v>6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3</v>
      </c>
      <c r="AB64" s="1">
        <v>11</v>
      </c>
      <c r="AC64" s="1">
        <v>0</v>
      </c>
    </row>
    <row r="65" spans="1:29" x14ac:dyDescent="0.3">
      <c r="A65" s="1">
        <v>6349</v>
      </c>
      <c r="B65" s="1">
        <v>1987</v>
      </c>
      <c r="C65" s="1" t="s">
        <v>34</v>
      </c>
      <c r="D65" s="1" t="s">
        <v>32</v>
      </c>
      <c r="E65" s="1">
        <v>61787</v>
      </c>
      <c r="F65" s="1">
        <v>0</v>
      </c>
      <c r="G65" s="1">
        <v>0</v>
      </c>
      <c r="H65" s="2">
        <v>41461</v>
      </c>
      <c r="I65" s="1">
        <v>71</v>
      </c>
      <c r="J65" s="1">
        <v>621</v>
      </c>
      <c r="K65" s="1">
        <v>73</v>
      </c>
      <c r="L65" s="1">
        <v>414</v>
      </c>
      <c r="M65" s="1">
        <v>78</v>
      </c>
      <c r="N65" s="1">
        <v>48</v>
      </c>
      <c r="O65" s="1">
        <v>85</v>
      </c>
      <c r="P65" s="1">
        <v>1</v>
      </c>
      <c r="Q65" s="1">
        <v>8</v>
      </c>
      <c r="R65" s="1">
        <v>4</v>
      </c>
      <c r="S65" s="1">
        <v>6</v>
      </c>
      <c r="T65" s="1">
        <v>5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3</v>
      </c>
      <c r="AB65" s="1">
        <v>11</v>
      </c>
      <c r="AC65" s="1">
        <v>0</v>
      </c>
    </row>
    <row r="66" spans="1:29" x14ac:dyDescent="0.3">
      <c r="A66" s="1">
        <v>6421</v>
      </c>
      <c r="B66" s="1">
        <v>1961</v>
      </c>
      <c r="C66" s="1" t="s">
        <v>31</v>
      </c>
      <c r="D66" s="1" t="s">
        <v>35</v>
      </c>
      <c r="E66" s="1">
        <v>88347</v>
      </c>
      <c r="F66" s="1">
        <v>0</v>
      </c>
      <c r="G66" s="1">
        <v>0</v>
      </c>
      <c r="H66" s="2">
        <v>41458</v>
      </c>
      <c r="I66" s="1">
        <v>32</v>
      </c>
      <c r="J66" s="1">
        <v>1050</v>
      </c>
      <c r="K66" s="1">
        <v>178</v>
      </c>
      <c r="L66" s="1">
        <v>555</v>
      </c>
      <c r="M66" s="1">
        <v>77</v>
      </c>
      <c r="N66" s="1">
        <v>138</v>
      </c>
      <c r="O66" s="1">
        <v>118</v>
      </c>
      <c r="P66" s="1">
        <v>1</v>
      </c>
      <c r="Q66" s="1">
        <v>4</v>
      </c>
      <c r="R66" s="1">
        <v>7</v>
      </c>
      <c r="S66" s="1">
        <v>9</v>
      </c>
      <c r="T66" s="1">
        <v>1</v>
      </c>
      <c r="U66" s="1">
        <v>0</v>
      </c>
      <c r="V66" s="1">
        <v>0</v>
      </c>
      <c r="W66" s="1">
        <v>0</v>
      </c>
      <c r="X66" s="1">
        <v>1</v>
      </c>
      <c r="Y66" s="1">
        <v>0</v>
      </c>
      <c r="Z66" s="1">
        <v>0</v>
      </c>
      <c r="AA66" s="1">
        <v>3</v>
      </c>
      <c r="AB66" s="1">
        <v>11</v>
      </c>
      <c r="AC66" s="1">
        <v>0</v>
      </c>
    </row>
    <row r="67" spans="1:29" x14ac:dyDescent="0.3">
      <c r="A67" s="1">
        <v>3766</v>
      </c>
      <c r="B67" s="1">
        <v>1959</v>
      </c>
      <c r="C67" s="1" t="s">
        <v>34</v>
      </c>
      <c r="D67" s="1" t="s">
        <v>37</v>
      </c>
      <c r="E67" s="1">
        <v>33051</v>
      </c>
      <c r="F67" s="1">
        <v>0</v>
      </c>
      <c r="G67" s="1">
        <v>0</v>
      </c>
      <c r="H67" s="2">
        <v>41137</v>
      </c>
      <c r="I67" s="1">
        <v>15</v>
      </c>
      <c r="J67" s="1">
        <v>100</v>
      </c>
      <c r="K67" s="1">
        <v>71</v>
      </c>
      <c r="L67" s="1">
        <v>243</v>
      </c>
      <c r="M67" s="1">
        <v>108</v>
      </c>
      <c r="N67" s="1">
        <v>94</v>
      </c>
      <c r="O67" s="1">
        <v>219</v>
      </c>
      <c r="P67" s="1">
        <v>3</v>
      </c>
      <c r="Q67" s="1">
        <v>9</v>
      </c>
      <c r="R67" s="1">
        <v>1</v>
      </c>
      <c r="S67" s="1">
        <v>8</v>
      </c>
      <c r="T67" s="1">
        <v>9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3</v>
      </c>
      <c r="AB67" s="1">
        <v>11</v>
      </c>
      <c r="AC67" s="1">
        <v>1</v>
      </c>
    </row>
    <row r="68" spans="1:29" x14ac:dyDescent="0.3">
      <c r="A68" s="1">
        <v>10641</v>
      </c>
      <c r="B68" s="1">
        <v>1978</v>
      </c>
      <c r="C68" s="1" t="s">
        <v>31</v>
      </c>
      <c r="D68" s="1" t="s">
        <v>33</v>
      </c>
      <c r="E68" s="1">
        <v>7500</v>
      </c>
      <c r="F68" s="1">
        <v>1</v>
      </c>
      <c r="G68" s="1">
        <v>1</v>
      </c>
      <c r="H68" s="2">
        <v>41270</v>
      </c>
      <c r="I68" s="1">
        <v>5</v>
      </c>
      <c r="J68" s="1">
        <v>6</v>
      </c>
      <c r="K68" s="1">
        <v>5</v>
      </c>
      <c r="L68" s="1">
        <v>4</v>
      </c>
      <c r="M68" s="1">
        <v>13</v>
      </c>
      <c r="N68" s="1">
        <v>4</v>
      </c>
      <c r="O68" s="1">
        <v>25</v>
      </c>
      <c r="P68" s="1">
        <v>4</v>
      </c>
      <c r="Q68" s="1">
        <v>2</v>
      </c>
      <c r="R68" s="1">
        <v>1</v>
      </c>
      <c r="S68" s="1">
        <v>3</v>
      </c>
      <c r="T68" s="1">
        <v>6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3</v>
      </c>
      <c r="AB68" s="1">
        <v>11</v>
      </c>
      <c r="AC68" s="1">
        <v>0</v>
      </c>
    </row>
    <row r="69" spans="1:29" x14ac:dyDescent="0.3">
      <c r="A69" s="1">
        <v>8334</v>
      </c>
      <c r="B69" s="1">
        <v>1971</v>
      </c>
      <c r="C69" s="1" t="s">
        <v>34</v>
      </c>
      <c r="D69" s="1" t="s">
        <v>33</v>
      </c>
      <c r="E69" s="1">
        <v>33316</v>
      </c>
      <c r="F69" s="1">
        <v>1</v>
      </c>
      <c r="G69" s="1">
        <v>1</v>
      </c>
      <c r="H69" s="2">
        <v>41551</v>
      </c>
      <c r="I69" s="1">
        <v>34</v>
      </c>
      <c r="J69" s="1">
        <v>79</v>
      </c>
      <c r="K69" s="1">
        <v>1</v>
      </c>
      <c r="L69" s="1">
        <v>31</v>
      </c>
      <c r="M69" s="1">
        <v>4</v>
      </c>
      <c r="N69" s="1">
        <v>4</v>
      </c>
      <c r="O69" s="1">
        <v>12</v>
      </c>
      <c r="P69" s="1">
        <v>3</v>
      </c>
      <c r="Q69" s="1">
        <v>2</v>
      </c>
      <c r="R69" s="1">
        <v>1</v>
      </c>
      <c r="S69" s="1">
        <v>4</v>
      </c>
      <c r="T69" s="1">
        <v>6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3</v>
      </c>
      <c r="AB69" s="1">
        <v>11</v>
      </c>
      <c r="AC69" s="1">
        <v>0</v>
      </c>
    </row>
    <row r="70" spans="1:29" x14ac:dyDescent="0.3">
      <c r="A70" s="1">
        <v>1920</v>
      </c>
      <c r="B70" s="1">
        <v>1972</v>
      </c>
      <c r="C70" s="1" t="s">
        <v>31</v>
      </c>
      <c r="D70" s="1" t="s">
        <v>30</v>
      </c>
      <c r="E70" s="1">
        <v>40321</v>
      </c>
      <c r="F70" s="1">
        <v>1</v>
      </c>
      <c r="G70" s="1">
        <v>1</v>
      </c>
      <c r="H70" s="2">
        <v>41484</v>
      </c>
      <c r="I70" s="1">
        <v>59</v>
      </c>
      <c r="J70" s="1">
        <v>44</v>
      </c>
      <c r="K70" s="1">
        <v>4</v>
      </c>
      <c r="L70" s="1">
        <v>21</v>
      </c>
      <c r="M70" s="1">
        <v>6</v>
      </c>
      <c r="N70" s="1">
        <v>0</v>
      </c>
      <c r="O70" s="1">
        <v>27</v>
      </c>
      <c r="P70" s="1">
        <v>2</v>
      </c>
      <c r="Q70" s="1">
        <v>3</v>
      </c>
      <c r="R70" s="1">
        <v>0</v>
      </c>
      <c r="S70" s="1">
        <v>3</v>
      </c>
      <c r="T70" s="1">
        <v>7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3</v>
      </c>
      <c r="AB70" s="1">
        <v>11</v>
      </c>
      <c r="AC70" s="1">
        <v>0</v>
      </c>
    </row>
    <row r="71" spans="1:29" x14ac:dyDescent="0.3">
      <c r="A71" s="1">
        <v>5314</v>
      </c>
      <c r="B71" s="1">
        <v>1951</v>
      </c>
      <c r="C71" s="1" t="s">
        <v>31</v>
      </c>
      <c r="D71" s="1" t="s">
        <v>35</v>
      </c>
      <c r="E71" s="1">
        <v>40689</v>
      </c>
      <c r="F71" s="1">
        <v>0</v>
      </c>
      <c r="G71" s="1">
        <v>1</v>
      </c>
      <c r="H71" s="2">
        <v>41351</v>
      </c>
      <c r="I71" s="1">
        <v>69</v>
      </c>
      <c r="J71" s="1">
        <v>270</v>
      </c>
      <c r="K71" s="1">
        <v>3</v>
      </c>
      <c r="L71" s="1">
        <v>27</v>
      </c>
      <c r="M71" s="1">
        <v>39</v>
      </c>
      <c r="N71" s="1">
        <v>6</v>
      </c>
      <c r="O71" s="1">
        <v>99</v>
      </c>
      <c r="P71" s="1">
        <v>7</v>
      </c>
      <c r="Q71" s="1">
        <v>7</v>
      </c>
      <c r="R71" s="1">
        <v>1</v>
      </c>
      <c r="S71" s="1">
        <v>5</v>
      </c>
      <c r="T71" s="1">
        <v>8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11</v>
      </c>
      <c r="AC71" s="1">
        <v>0</v>
      </c>
    </row>
    <row r="72" spans="1:29" x14ac:dyDescent="0.3">
      <c r="A72" s="1">
        <v>10556</v>
      </c>
      <c r="B72" s="1">
        <v>1959</v>
      </c>
      <c r="C72" s="1" t="s">
        <v>31</v>
      </c>
      <c r="D72" s="1" t="s">
        <v>30</v>
      </c>
      <c r="E72" s="1">
        <v>54984</v>
      </c>
      <c r="F72" s="1">
        <v>0</v>
      </c>
      <c r="G72" s="1">
        <v>1</v>
      </c>
      <c r="H72" s="2">
        <v>41783</v>
      </c>
      <c r="I72" s="1">
        <v>51</v>
      </c>
      <c r="J72" s="1">
        <v>173</v>
      </c>
      <c r="K72" s="1">
        <v>13</v>
      </c>
      <c r="L72" s="1">
        <v>131</v>
      </c>
      <c r="M72" s="1">
        <v>32</v>
      </c>
      <c r="N72" s="1">
        <v>3</v>
      </c>
      <c r="O72" s="1">
        <v>6</v>
      </c>
      <c r="P72" s="1">
        <v>4</v>
      </c>
      <c r="Q72" s="1">
        <v>6</v>
      </c>
      <c r="R72" s="1">
        <v>1</v>
      </c>
      <c r="S72" s="1">
        <v>6</v>
      </c>
      <c r="T72" s="1">
        <v>7</v>
      </c>
      <c r="U72" s="1">
        <v>0</v>
      </c>
      <c r="V72" s="1">
        <v>0</v>
      </c>
      <c r="W72" s="1">
        <v>0</v>
      </c>
      <c r="X72" s="1">
        <v>1</v>
      </c>
      <c r="Y72" s="1">
        <v>0</v>
      </c>
      <c r="Z72" s="1">
        <v>0</v>
      </c>
      <c r="AA72" s="1">
        <v>3</v>
      </c>
      <c r="AB72" s="1">
        <v>11</v>
      </c>
      <c r="AC72" s="1">
        <v>0</v>
      </c>
    </row>
    <row r="73" spans="1:29" x14ac:dyDescent="0.3">
      <c r="A73" s="1">
        <v>2245</v>
      </c>
      <c r="B73" s="1">
        <v>1969</v>
      </c>
      <c r="C73" s="1" t="s">
        <v>34</v>
      </c>
      <c r="D73" s="1" t="s">
        <v>30</v>
      </c>
      <c r="E73" s="1">
        <v>43641</v>
      </c>
      <c r="F73" s="1">
        <v>1</v>
      </c>
      <c r="G73" s="1">
        <v>1</v>
      </c>
      <c r="H73" s="2">
        <v>41386</v>
      </c>
      <c r="I73" s="1">
        <v>50</v>
      </c>
      <c r="J73" s="1">
        <v>57</v>
      </c>
      <c r="K73" s="1">
        <v>2</v>
      </c>
      <c r="L73" s="1">
        <v>51</v>
      </c>
      <c r="M73" s="1">
        <v>4</v>
      </c>
      <c r="N73" s="1">
        <v>2</v>
      </c>
      <c r="O73" s="1">
        <v>23</v>
      </c>
      <c r="P73" s="1">
        <v>3</v>
      </c>
      <c r="Q73" s="1">
        <v>2</v>
      </c>
      <c r="R73" s="1">
        <v>1</v>
      </c>
      <c r="S73" s="1">
        <v>4</v>
      </c>
      <c r="T73" s="1">
        <v>6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3</v>
      </c>
      <c r="AB73" s="1">
        <v>11</v>
      </c>
      <c r="AC73" s="1">
        <v>0</v>
      </c>
    </row>
    <row r="74" spans="1:29" x14ac:dyDescent="0.3">
      <c r="A74" s="1">
        <v>1232</v>
      </c>
      <c r="B74" s="1">
        <v>1982</v>
      </c>
      <c r="C74" s="1" t="s">
        <v>36</v>
      </c>
      <c r="D74" s="1" t="s">
        <v>35</v>
      </c>
      <c r="E74" s="1">
        <v>70038</v>
      </c>
      <c r="F74" s="1">
        <v>0</v>
      </c>
      <c r="G74" s="1">
        <v>0</v>
      </c>
      <c r="H74" s="2">
        <v>41572</v>
      </c>
      <c r="I74" s="1">
        <v>54</v>
      </c>
      <c r="J74" s="1">
        <v>587</v>
      </c>
      <c r="K74" s="1">
        <v>54</v>
      </c>
      <c r="L74" s="1">
        <v>348</v>
      </c>
      <c r="M74" s="1">
        <v>71</v>
      </c>
      <c r="N74" s="1">
        <v>54</v>
      </c>
      <c r="O74" s="1">
        <v>130</v>
      </c>
      <c r="P74" s="1">
        <v>1</v>
      </c>
      <c r="Q74" s="1">
        <v>4</v>
      </c>
      <c r="R74" s="1">
        <v>4</v>
      </c>
      <c r="S74" s="1">
        <v>8</v>
      </c>
      <c r="T74" s="1">
        <v>2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3</v>
      </c>
      <c r="AB74" s="1">
        <v>11</v>
      </c>
      <c r="AC74" s="1">
        <v>0</v>
      </c>
    </row>
    <row r="75" spans="1:29" x14ac:dyDescent="0.3">
      <c r="A75" s="1">
        <v>6982</v>
      </c>
      <c r="B75" s="1">
        <v>1976</v>
      </c>
      <c r="C75" s="1" t="s">
        <v>31</v>
      </c>
      <c r="D75" s="1" t="s">
        <v>30</v>
      </c>
      <c r="E75" s="1">
        <v>74068</v>
      </c>
      <c r="F75" s="1">
        <v>0</v>
      </c>
      <c r="G75" s="1">
        <v>0</v>
      </c>
      <c r="H75" s="2">
        <v>41352</v>
      </c>
      <c r="I75" s="1">
        <v>14</v>
      </c>
      <c r="J75" s="1">
        <v>783</v>
      </c>
      <c r="K75" s="1">
        <v>30</v>
      </c>
      <c r="L75" s="1">
        <v>537</v>
      </c>
      <c r="M75" s="1">
        <v>140</v>
      </c>
      <c r="N75" s="1">
        <v>76</v>
      </c>
      <c r="O75" s="1">
        <v>15</v>
      </c>
      <c r="P75" s="1">
        <v>1</v>
      </c>
      <c r="Q75" s="1">
        <v>4</v>
      </c>
      <c r="R75" s="1">
        <v>10</v>
      </c>
      <c r="S75" s="1">
        <v>9</v>
      </c>
      <c r="T75" s="1">
        <v>2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3</v>
      </c>
      <c r="AB75" s="1">
        <v>11</v>
      </c>
      <c r="AC75" s="1">
        <v>0</v>
      </c>
    </row>
    <row r="76" spans="1:29" x14ac:dyDescent="0.3">
      <c r="A76" s="1">
        <v>9463</v>
      </c>
      <c r="B76" s="1">
        <v>1959</v>
      </c>
      <c r="C76" s="1" t="s">
        <v>31</v>
      </c>
      <c r="D76" s="1" t="s">
        <v>35</v>
      </c>
      <c r="E76" s="1">
        <v>71706</v>
      </c>
      <c r="F76" s="1">
        <v>0</v>
      </c>
      <c r="G76" s="1">
        <v>1</v>
      </c>
      <c r="H76" s="2">
        <v>41226</v>
      </c>
      <c r="I76" s="1">
        <v>16</v>
      </c>
      <c r="J76" s="1">
        <v>931</v>
      </c>
      <c r="K76" s="1">
        <v>56</v>
      </c>
      <c r="L76" s="1">
        <v>253</v>
      </c>
      <c r="M76" s="1">
        <v>91</v>
      </c>
      <c r="N76" s="1">
        <v>98</v>
      </c>
      <c r="O76" s="1">
        <v>14</v>
      </c>
      <c r="P76" s="1">
        <v>4</v>
      </c>
      <c r="Q76" s="1">
        <v>9</v>
      </c>
      <c r="R76" s="1">
        <v>5</v>
      </c>
      <c r="S76" s="1">
        <v>7</v>
      </c>
      <c r="T76" s="1">
        <v>5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3</v>
      </c>
      <c r="AB76" s="1">
        <v>11</v>
      </c>
      <c r="AC76" s="1">
        <v>0</v>
      </c>
    </row>
    <row r="77" spans="1:29" x14ac:dyDescent="0.3">
      <c r="A77" s="1">
        <v>8800</v>
      </c>
      <c r="B77" s="1">
        <v>1943</v>
      </c>
      <c r="C77" s="1" t="s">
        <v>36</v>
      </c>
      <c r="D77" s="1" t="s">
        <v>32</v>
      </c>
      <c r="E77" s="1">
        <v>48948</v>
      </c>
      <c r="F77" s="1">
        <v>0</v>
      </c>
      <c r="G77" s="1">
        <v>0</v>
      </c>
      <c r="H77" s="2">
        <v>41306</v>
      </c>
      <c r="I77" s="1">
        <v>53</v>
      </c>
      <c r="J77" s="1">
        <v>437</v>
      </c>
      <c r="K77" s="1">
        <v>8</v>
      </c>
      <c r="L77" s="1">
        <v>206</v>
      </c>
      <c r="M77" s="1">
        <v>160</v>
      </c>
      <c r="N77" s="1">
        <v>49</v>
      </c>
      <c r="O77" s="1">
        <v>42</v>
      </c>
      <c r="P77" s="1">
        <v>2</v>
      </c>
      <c r="Q77" s="1">
        <v>7</v>
      </c>
      <c r="R77" s="1">
        <v>10</v>
      </c>
      <c r="S77" s="1">
        <v>5</v>
      </c>
      <c r="T77" s="1">
        <v>6</v>
      </c>
      <c r="U77" s="1">
        <v>1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3</v>
      </c>
      <c r="AB77" s="1">
        <v>11</v>
      </c>
      <c r="AC77" s="1">
        <v>1</v>
      </c>
    </row>
    <row r="78" spans="1:29" x14ac:dyDescent="0.3">
      <c r="A78" s="1">
        <v>3007</v>
      </c>
      <c r="B78" s="1">
        <v>1966</v>
      </c>
      <c r="C78" s="1" t="s">
        <v>31</v>
      </c>
      <c r="D78" s="1" t="s">
        <v>35</v>
      </c>
      <c r="E78" s="1">
        <v>37758</v>
      </c>
      <c r="F78" s="1">
        <v>1</v>
      </c>
      <c r="G78" s="1">
        <v>1</v>
      </c>
      <c r="H78" s="2">
        <v>41186</v>
      </c>
      <c r="I78" s="1">
        <v>49</v>
      </c>
      <c r="J78" s="1">
        <v>27</v>
      </c>
      <c r="K78" s="1">
        <v>2</v>
      </c>
      <c r="L78" s="1">
        <v>10</v>
      </c>
      <c r="M78" s="1">
        <v>0</v>
      </c>
      <c r="N78" s="1">
        <v>0</v>
      </c>
      <c r="O78" s="1">
        <v>1</v>
      </c>
      <c r="P78" s="1">
        <v>2</v>
      </c>
      <c r="Q78" s="1">
        <v>1</v>
      </c>
      <c r="R78" s="1">
        <v>0</v>
      </c>
      <c r="S78" s="1">
        <v>3</v>
      </c>
      <c r="T78" s="1">
        <v>8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3</v>
      </c>
      <c r="AB78" s="1">
        <v>11</v>
      </c>
      <c r="AC78" s="1">
        <v>0</v>
      </c>
    </row>
    <row r="79" spans="1:29" x14ac:dyDescent="0.3">
      <c r="A79" s="1">
        <v>9973</v>
      </c>
      <c r="B79" s="1">
        <v>1963</v>
      </c>
      <c r="C79" s="1" t="s">
        <v>31</v>
      </c>
      <c r="D79" s="1" t="s">
        <v>30</v>
      </c>
      <c r="E79" s="1">
        <v>50437</v>
      </c>
      <c r="F79" s="1">
        <v>0</v>
      </c>
      <c r="G79" s="1">
        <v>2</v>
      </c>
      <c r="H79" s="2">
        <v>41199</v>
      </c>
      <c r="I79" s="1">
        <v>28</v>
      </c>
      <c r="J79" s="1">
        <v>370</v>
      </c>
      <c r="K79" s="1">
        <v>9</v>
      </c>
      <c r="L79" s="1">
        <v>92</v>
      </c>
      <c r="M79" s="1">
        <v>6</v>
      </c>
      <c r="N79" s="1">
        <v>9</v>
      </c>
      <c r="O79" s="1">
        <v>4</v>
      </c>
      <c r="P79" s="1">
        <v>3</v>
      </c>
      <c r="Q79" s="1">
        <v>7</v>
      </c>
      <c r="R79" s="1">
        <v>1</v>
      </c>
      <c r="S79" s="1">
        <v>8</v>
      </c>
      <c r="T79" s="1">
        <v>7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3</v>
      </c>
      <c r="AB79" s="1">
        <v>11</v>
      </c>
      <c r="AC79" s="1">
        <v>0</v>
      </c>
    </row>
    <row r="80" spans="1:29" x14ac:dyDescent="0.3">
      <c r="A80" s="1">
        <v>4437</v>
      </c>
      <c r="B80" s="1">
        <v>1962</v>
      </c>
      <c r="C80" s="1" t="s">
        <v>31</v>
      </c>
      <c r="D80" s="1" t="s">
        <v>30</v>
      </c>
      <c r="E80" s="1">
        <v>65316</v>
      </c>
      <c r="F80" s="1">
        <v>1</v>
      </c>
      <c r="G80" s="1">
        <v>1</v>
      </c>
      <c r="H80" s="2">
        <v>41388</v>
      </c>
      <c r="I80" s="1">
        <v>65</v>
      </c>
      <c r="J80" s="1">
        <v>112</v>
      </c>
      <c r="K80" s="1">
        <v>6</v>
      </c>
      <c r="L80" s="1">
        <v>92</v>
      </c>
      <c r="M80" s="1">
        <v>3</v>
      </c>
      <c r="N80" s="1">
        <v>9</v>
      </c>
      <c r="O80" s="1">
        <v>38</v>
      </c>
      <c r="P80" s="1">
        <v>2</v>
      </c>
      <c r="Q80" s="1">
        <v>3</v>
      </c>
      <c r="R80" s="1">
        <v>2</v>
      </c>
      <c r="S80" s="1">
        <v>5</v>
      </c>
      <c r="T80" s="1">
        <v>4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3</v>
      </c>
      <c r="AB80" s="1">
        <v>11</v>
      </c>
      <c r="AC80" s="1">
        <v>0</v>
      </c>
    </row>
    <row r="81" spans="1:29" x14ac:dyDescent="0.3">
      <c r="A81" s="1">
        <v>9938</v>
      </c>
      <c r="B81" s="1">
        <v>1954</v>
      </c>
      <c r="C81" s="1" t="s">
        <v>31</v>
      </c>
      <c r="D81" s="1" t="s">
        <v>30</v>
      </c>
      <c r="E81" s="1">
        <v>80067</v>
      </c>
      <c r="F81" s="1">
        <v>0</v>
      </c>
      <c r="G81" s="1">
        <v>0</v>
      </c>
      <c r="H81" s="2">
        <v>41536</v>
      </c>
      <c r="I81" s="1">
        <v>82</v>
      </c>
      <c r="J81" s="1">
        <v>519</v>
      </c>
      <c r="K81" s="1">
        <v>17</v>
      </c>
      <c r="L81" s="1">
        <v>813</v>
      </c>
      <c r="M81" s="1">
        <v>27</v>
      </c>
      <c r="N81" s="1">
        <v>173</v>
      </c>
      <c r="O81" s="1">
        <v>51</v>
      </c>
      <c r="P81" s="1">
        <v>1</v>
      </c>
      <c r="Q81" s="1">
        <v>4</v>
      </c>
      <c r="R81" s="1">
        <v>6</v>
      </c>
      <c r="S81" s="1">
        <v>6</v>
      </c>
      <c r="T81" s="1">
        <v>2</v>
      </c>
      <c r="U81" s="1">
        <v>0</v>
      </c>
      <c r="V81" s="1">
        <v>0</v>
      </c>
      <c r="W81" s="1">
        <v>1</v>
      </c>
      <c r="X81" s="1">
        <v>0</v>
      </c>
      <c r="Y81" s="1">
        <v>0</v>
      </c>
      <c r="Z81" s="1">
        <v>0</v>
      </c>
      <c r="AA81" s="1">
        <v>3</v>
      </c>
      <c r="AB81" s="1">
        <v>11</v>
      </c>
      <c r="AC81" s="1">
        <v>0</v>
      </c>
    </row>
    <row r="82" spans="1:29" x14ac:dyDescent="0.3">
      <c r="A82" s="1">
        <v>5370</v>
      </c>
      <c r="B82" s="1">
        <v>1973</v>
      </c>
      <c r="C82" s="1" t="s">
        <v>36</v>
      </c>
      <c r="D82" s="1" t="s">
        <v>30</v>
      </c>
      <c r="E82" s="1">
        <v>32644</v>
      </c>
      <c r="F82" s="1">
        <v>1</v>
      </c>
      <c r="G82" s="1">
        <v>0</v>
      </c>
      <c r="H82" s="2">
        <v>41290</v>
      </c>
      <c r="I82" s="1">
        <v>38</v>
      </c>
      <c r="J82" s="1">
        <v>239</v>
      </c>
      <c r="K82" s="1">
        <v>3</v>
      </c>
      <c r="L82" s="1">
        <v>141</v>
      </c>
      <c r="M82" s="1">
        <v>0</v>
      </c>
      <c r="N82" s="1">
        <v>7</v>
      </c>
      <c r="O82" s="1">
        <v>23</v>
      </c>
      <c r="P82" s="1">
        <v>4</v>
      </c>
      <c r="Q82" s="1">
        <v>7</v>
      </c>
      <c r="R82" s="1">
        <v>1</v>
      </c>
      <c r="S82" s="1">
        <v>6</v>
      </c>
      <c r="T82" s="1">
        <v>8</v>
      </c>
      <c r="U82" s="1">
        <v>1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3</v>
      </c>
      <c r="AB82" s="1">
        <v>11</v>
      </c>
      <c r="AC82" s="1">
        <v>0</v>
      </c>
    </row>
    <row r="83" spans="1:29" x14ac:dyDescent="0.3">
      <c r="A83" s="1">
        <v>10648</v>
      </c>
      <c r="B83" s="1">
        <v>1982</v>
      </c>
      <c r="C83" s="1" t="s">
        <v>29</v>
      </c>
      <c r="D83" s="1" t="s">
        <v>35</v>
      </c>
      <c r="E83" s="1">
        <v>66664</v>
      </c>
      <c r="F83" s="1">
        <v>0</v>
      </c>
      <c r="G83" s="1">
        <v>0</v>
      </c>
      <c r="H83" s="2">
        <v>41177</v>
      </c>
      <c r="I83" s="1">
        <v>78</v>
      </c>
      <c r="J83" s="1">
        <v>398</v>
      </c>
      <c r="K83" s="1">
        <v>96</v>
      </c>
      <c r="L83" s="1">
        <v>447</v>
      </c>
      <c r="M83" s="1">
        <v>220</v>
      </c>
      <c r="N83" s="1">
        <v>96</v>
      </c>
      <c r="O83" s="1">
        <v>32</v>
      </c>
      <c r="P83" s="1">
        <v>1</v>
      </c>
      <c r="Q83" s="1">
        <v>5</v>
      </c>
      <c r="R83" s="1">
        <v>7</v>
      </c>
      <c r="S83" s="1">
        <v>6</v>
      </c>
      <c r="T83" s="1">
        <v>3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3</v>
      </c>
      <c r="AB83" s="1">
        <v>11</v>
      </c>
      <c r="AC83" s="1">
        <v>0</v>
      </c>
    </row>
    <row r="84" spans="1:29" x14ac:dyDescent="0.3">
      <c r="A84" s="1">
        <v>7386</v>
      </c>
      <c r="B84" s="1">
        <v>1976</v>
      </c>
      <c r="C84" s="1" t="s">
        <v>31</v>
      </c>
      <c r="D84" s="1" t="s">
        <v>32</v>
      </c>
      <c r="E84" s="1">
        <v>30992</v>
      </c>
      <c r="F84" s="1">
        <v>1</v>
      </c>
      <c r="G84" s="1">
        <v>0</v>
      </c>
      <c r="H84" s="2">
        <v>41386</v>
      </c>
      <c r="I84" s="1">
        <v>83</v>
      </c>
      <c r="J84" s="1">
        <v>17</v>
      </c>
      <c r="K84" s="1">
        <v>0</v>
      </c>
      <c r="L84" s="1">
        <v>14</v>
      </c>
      <c r="M84" s="1">
        <v>7</v>
      </c>
      <c r="N84" s="1">
        <v>3</v>
      </c>
      <c r="O84" s="1">
        <v>2</v>
      </c>
      <c r="P84" s="1">
        <v>1</v>
      </c>
      <c r="Q84" s="1">
        <v>1</v>
      </c>
      <c r="R84" s="1">
        <v>0</v>
      </c>
      <c r="S84" s="1">
        <v>3</v>
      </c>
      <c r="T84" s="1">
        <v>7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3</v>
      </c>
      <c r="AB84" s="1">
        <v>11</v>
      </c>
      <c r="AC84" s="1">
        <v>0</v>
      </c>
    </row>
    <row r="85" spans="1:29" x14ac:dyDescent="0.3">
      <c r="A85" s="1">
        <v>6653</v>
      </c>
      <c r="B85" s="1">
        <v>1970</v>
      </c>
      <c r="C85" s="1" t="s">
        <v>36</v>
      </c>
      <c r="D85" s="1" t="s">
        <v>30</v>
      </c>
      <c r="E85" s="1">
        <v>55158</v>
      </c>
      <c r="F85" s="1">
        <v>1</v>
      </c>
      <c r="G85" s="1">
        <v>1</v>
      </c>
      <c r="H85" s="2">
        <v>41120</v>
      </c>
      <c r="I85" s="1">
        <v>72</v>
      </c>
      <c r="J85" s="1">
        <v>293</v>
      </c>
      <c r="K85" s="1">
        <v>0</v>
      </c>
      <c r="L85" s="1">
        <v>87</v>
      </c>
      <c r="M85" s="1">
        <v>4</v>
      </c>
      <c r="N85" s="1">
        <v>11</v>
      </c>
      <c r="O85" s="1">
        <v>23</v>
      </c>
      <c r="P85" s="1">
        <v>4</v>
      </c>
      <c r="Q85" s="1">
        <v>7</v>
      </c>
      <c r="R85" s="1">
        <v>2</v>
      </c>
      <c r="S85" s="1">
        <v>5</v>
      </c>
      <c r="T85" s="1">
        <v>7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3</v>
      </c>
      <c r="AB85" s="1">
        <v>11</v>
      </c>
      <c r="AC85" s="1">
        <v>1</v>
      </c>
    </row>
    <row r="86" spans="1:29" x14ac:dyDescent="0.3">
      <c r="A86" s="1">
        <v>10814</v>
      </c>
      <c r="B86" s="1">
        <v>1947</v>
      </c>
      <c r="C86" s="1" t="s">
        <v>31</v>
      </c>
      <c r="D86" s="1" t="s">
        <v>35</v>
      </c>
      <c r="E86" s="1">
        <v>70321</v>
      </c>
      <c r="F86" s="1">
        <v>0</v>
      </c>
      <c r="G86" s="1">
        <v>0</v>
      </c>
      <c r="H86" s="2">
        <v>41290</v>
      </c>
      <c r="I86" s="1">
        <v>6</v>
      </c>
      <c r="J86" s="1">
        <v>303</v>
      </c>
      <c r="K86" s="1">
        <v>23</v>
      </c>
      <c r="L86" s="1">
        <v>751</v>
      </c>
      <c r="M86" s="1">
        <v>82</v>
      </c>
      <c r="N86" s="1">
        <v>26</v>
      </c>
      <c r="O86" s="1">
        <v>191</v>
      </c>
      <c r="P86" s="1">
        <v>1</v>
      </c>
      <c r="Q86" s="1">
        <v>6</v>
      </c>
      <c r="R86" s="1">
        <v>5</v>
      </c>
      <c r="S86" s="1">
        <v>13</v>
      </c>
      <c r="T86" s="1">
        <v>4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3</v>
      </c>
      <c r="AB86" s="1">
        <v>11</v>
      </c>
      <c r="AC86" s="1">
        <v>1</v>
      </c>
    </row>
    <row r="87" spans="1:29" x14ac:dyDescent="0.3">
      <c r="A87" s="1">
        <v>7212</v>
      </c>
      <c r="B87" s="1">
        <v>1966</v>
      </c>
      <c r="C87" s="1" t="s">
        <v>31</v>
      </c>
      <c r="D87" s="1" t="s">
        <v>30</v>
      </c>
      <c r="E87" s="1">
        <v>44794</v>
      </c>
      <c r="F87" s="1">
        <v>0</v>
      </c>
      <c r="G87" s="1">
        <v>1</v>
      </c>
      <c r="H87" s="2">
        <v>41798</v>
      </c>
      <c r="I87" s="1">
        <v>99</v>
      </c>
      <c r="J87" s="1">
        <v>54</v>
      </c>
      <c r="K87" s="1">
        <v>0</v>
      </c>
      <c r="L87" s="1">
        <v>7</v>
      </c>
      <c r="M87" s="1">
        <v>0</v>
      </c>
      <c r="N87" s="1">
        <v>0</v>
      </c>
      <c r="O87" s="1">
        <v>4</v>
      </c>
      <c r="P87" s="1">
        <v>1</v>
      </c>
      <c r="Q87" s="1">
        <v>2</v>
      </c>
      <c r="R87" s="1">
        <v>0</v>
      </c>
      <c r="S87" s="1">
        <v>3</v>
      </c>
      <c r="T87" s="1">
        <v>6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3</v>
      </c>
      <c r="AB87" s="1">
        <v>11</v>
      </c>
      <c r="AC87" s="1">
        <v>0</v>
      </c>
    </row>
    <row r="88" spans="1:29" x14ac:dyDescent="0.3">
      <c r="A88" s="1">
        <v>5510</v>
      </c>
      <c r="B88" s="1">
        <v>1977</v>
      </c>
      <c r="C88" s="1" t="s">
        <v>34</v>
      </c>
      <c r="D88" s="1" t="s">
        <v>30</v>
      </c>
      <c r="E88" s="1">
        <v>43263</v>
      </c>
      <c r="F88" s="1">
        <v>0</v>
      </c>
      <c r="G88" s="1">
        <v>1</v>
      </c>
      <c r="H88" s="2">
        <v>41234</v>
      </c>
      <c r="I88" s="1">
        <v>2</v>
      </c>
      <c r="J88" s="1">
        <v>262</v>
      </c>
      <c r="K88" s="1">
        <v>6</v>
      </c>
      <c r="L88" s="1">
        <v>61</v>
      </c>
      <c r="M88" s="1">
        <v>0</v>
      </c>
      <c r="N88" s="1">
        <v>10</v>
      </c>
      <c r="O88" s="1">
        <v>102</v>
      </c>
      <c r="P88" s="1">
        <v>3</v>
      </c>
      <c r="Q88" s="1">
        <v>5</v>
      </c>
      <c r="R88" s="1">
        <v>2</v>
      </c>
      <c r="S88" s="1">
        <v>6</v>
      </c>
      <c r="T88" s="1">
        <v>5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3</v>
      </c>
      <c r="AB88" s="1">
        <v>11</v>
      </c>
      <c r="AC88" s="1">
        <v>0</v>
      </c>
    </row>
    <row r="89" spans="1:29" x14ac:dyDescent="0.3">
      <c r="A89" s="1">
        <v>5236</v>
      </c>
      <c r="B89" s="1">
        <v>1979</v>
      </c>
      <c r="C89" s="1" t="s">
        <v>31</v>
      </c>
      <c r="D89" s="1" t="s">
        <v>35</v>
      </c>
      <c r="E89" s="1">
        <v>77568</v>
      </c>
      <c r="F89" s="1">
        <v>0</v>
      </c>
      <c r="G89" s="1">
        <v>1</v>
      </c>
      <c r="H89" s="2">
        <v>41146</v>
      </c>
      <c r="I89" s="1">
        <v>30</v>
      </c>
      <c r="J89" s="1">
        <v>1230</v>
      </c>
      <c r="K89" s="1">
        <v>0</v>
      </c>
      <c r="L89" s="1">
        <v>396</v>
      </c>
      <c r="M89" s="1">
        <v>232</v>
      </c>
      <c r="N89" s="1">
        <v>178</v>
      </c>
      <c r="O89" s="1">
        <v>158</v>
      </c>
      <c r="P89" s="1">
        <v>1</v>
      </c>
      <c r="Q89" s="1">
        <v>10</v>
      </c>
      <c r="R89" s="1">
        <v>2</v>
      </c>
      <c r="S89" s="1">
        <v>8</v>
      </c>
      <c r="T89" s="1">
        <v>5</v>
      </c>
      <c r="U89" s="1">
        <v>0</v>
      </c>
      <c r="V89" s="1">
        <v>1</v>
      </c>
      <c r="W89" s="1">
        <v>1</v>
      </c>
      <c r="X89" s="1">
        <v>1</v>
      </c>
      <c r="Y89" s="1">
        <v>0</v>
      </c>
      <c r="Z89" s="1">
        <v>0</v>
      </c>
      <c r="AA89" s="1">
        <v>3</v>
      </c>
      <c r="AB89" s="1">
        <v>11</v>
      </c>
      <c r="AC89" s="1">
        <v>0</v>
      </c>
    </row>
    <row r="90" spans="1:29" x14ac:dyDescent="0.3">
      <c r="A90" s="1">
        <v>6201</v>
      </c>
      <c r="B90" s="1">
        <v>1978</v>
      </c>
      <c r="C90" s="1" t="s">
        <v>31</v>
      </c>
      <c r="D90" s="1" t="s">
        <v>33</v>
      </c>
      <c r="E90" s="1">
        <v>38643</v>
      </c>
      <c r="F90" s="1">
        <v>1</v>
      </c>
      <c r="G90" s="1">
        <v>1</v>
      </c>
      <c r="H90" s="2">
        <v>41607</v>
      </c>
      <c r="I90" s="1">
        <v>45</v>
      </c>
      <c r="J90" s="1">
        <v>22</v>
      </c>
      <c r="K90" s="1">
        <v>2</v>
      </c>
      <c r="L90" s="1">
        <v>14</v>
      </c>
      <c r="M90" s="1">
        <v>0</v>
      </c>
      <c r="N90" s="1">
        <v>1</v>
      </c>
      <c r="O90" s="1">
        <v>10</v>
      </c>
      <c r="P90" s="1">
        <v>2</v>
      </c>
      <c r="Q90" s="1">
        <v>2</v>
      </c>
      <c r="R90" s="1">
        <v>0</v>
      </c>
      <c r="S90" s="1">
        <v>3</v>
      </c>
      <c r="T90" s="1">
        <v>7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1</v>
      </c>
      <c r="AA90" s="1">
        <v>3</v>
      </c>
      <c r="AB90" s="1">
        <v>11</v>
      </c>
      <c r="AC90" s="1">
        <v>0</v>
      </c>
    </row>
    <row r="91" spans="1:29" x14ac:dyDescent="0.3">
      <c r="A91" s="1">
        <v>4385</v>
      </c>
      <c r="B91" s="1">
        <v>1981</v>
      </c>
      <c r="C91" s="1" t="s">
        <v>36</v>
      </c>
      <c r="D91" s="1" t="s">
        <v>33</v>
      </c>
      <c r="E91" s="1">
        <v>36038</v>
      </c>
      <c r="F91" s="1">
        <v>1</v>
      </c>
      <c r="G91" s="1">
        <v>0</v>
      </c>
      <c r="H91" s="2">
        <v>41425</v>
      </c>
      <c r="I91" s="1">
        <v>82</v>
      </c>
      <c r="J91" s="1">
        <v>23</v>
      </c>
      <c r="K91" s="1">
        <v>0</v>
      </c>
      <c r="L91" s="1">
        <v>15</v>
      </c>
      <c r="M91" s="1">
        <v>0</v>
      </c>
      <c r="N91" s="1">
        <v>2</v>
      </c>
      <c r="O91" s="1">
        <v>7</v>
      </c>
      <c r="P91" s="1">
        <v>2</v>
      </c>
      <c r="Q91" s="1">
        <v>3</v>
      </c>
      <c r="R91" s="1">
        <v>0</v>
      </c>
      <c r="S91" s="1">
        <v>3</v>
      </c>
      <c r="T91" s="1">
        <v>6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3</v>
      </c>
      <c r="AB91" s="1">
        <v>11</v>
      </c>
      <c r="AC91" s="1">
        <v>0</v>
      </c>
    </row>
    <row r="92" spans="1:29" x14ac:dyDescent="0.3">
      <c r="A92" s="1">
        <v>9645</v>
      </c>
      <c r="B92" s="1">
        <v>1968</v>
      </c>
      <c r="C92" s="1" t="s">
        <v>31</v>
      </c>
      <c r="D92" s="1" t="s">
        <v>30</v>
      </c>
      <c r="E92" s="1">
        <v>64590</v>
      </c>
      <c r="F92" s="1">
        <v>0</v>
      </c>
      <c r="G92" s="1">
        <v>0</v>
      </c>
      <c r="H92" s="2">
        <v>41196</v>
      </c>
      <c r="I92" s="1">
        <v>98</v>
      </c>
      <c r="J92" s="1">
        <v>920</v>
      </c>
      <c r="K92" s="1">
        <v>138</v>
      </c>
      <c r="L92" s="1">
        <v>168</v>
      </c>
      <c r="M92" s="1">
        <v>36</v>
      </c>
      <c r="N92" s="1">
        <v>46</v>
      </c>
      <c r="O92" s="1">
        <v>30</v>
      </c>
      <c r="P92" s="1">
        <v>1</v>
      </c>
      <c r="Q92" s="1">
        <v>9</v>
      </c>
      <c r="R92" s="1">
        <v>4</v>
      </c>
      <c r="S92" s="1">
        <v>10</v>
      </c>
      <c r="T92" s="1">
        <v>6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3</v>
      </c>
      <c r="AB92" s="1">
        <v>11</v>
      </c>
      <c r="AC92" s="1">
        <v>0</v>
      </c>
    </row>
    <row r="93" spans="1:29" x14ac:dyDescent="0.3">
      <c r="A93" s="1">
        <v>1010</v>
      </c>
      <c r="B93" s="1">
        <v>1977</v>
      </c>
      <c r="C93" s="1" t="s">
        <v>31</v>
      </c>
      <c r="D93" s="1" t="s">
        <v>35</v>
      </c>
      <c r="E93" s="1">
        <v>46931</v>
      </c>
      <c r="F93" s="1">
        <v>2</v>
      </c>
      <c r="G93" s="1">
        <v>1</v>
      </c>
      <c r="H93" s="2">
        <v>41753</v>
      </c>
      <c r="I93" s="1">
        <v>94</v>
      </c>
      <c r="J93" s="1">
        <v>41</v>
      </c>
      <c r="K93" s="1">
        <v>0</v>
      </c>
      <c r="L93" s="1">
        <v>17</v>
      </c>
      <c r="M93" s="1">
        <v>3</v>
      </c>
      <c r="N93" s="1">
        <v>1</v>
      </c>
      <c r="O93" s="1">
        <v>16</v>
      </c>
      <c r="P93" s="1">
        <v>2</v>
      </c>
      <c r="Q93" s="1">
        <v>1</v>
      </c>
      <c r="R93" s="1">
        <v>1</v>
      </c>
      <c r="S93" s="1">
        <v>3</v>
      </c>
      <c r="T93" s="1">
        <v>3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3</v>
      </c>
      <c r="AB93" s="1">
        <v>11</v>
      </c>
      <c r="AC93" s="1">
        <v>0</v>
      </c>
    </row>
    <row r="94" spans="1:29" x14ac:dyDescent="0.3">
      <c r="A94" s="1">
        <v>1409</v>
      </c>
      <c r="B94" s="1">
        <v>1951</v>
      </c>
      <c r="C94" s="1" t="s">
        <v>31</v>
      </c>
      <c r="D94" s="1" t="s">
        <v>35</v>
      </c>
      <c r="E94" s="1">
        <v>40689</v>
      </c>
      <c r="F94" s="1">
        <v>0</v>
      </c>
      <c r="G94" s="1">
        <v>1</v>
      </c>
      <c r="H94" s="2">
        <v>41351</v>
      </c>
      <c r="I94" s="1">
        <v>69</v>
      </c>
      <c r="J94" s="1">
        <v>270</v>
      </c>
      <c r="K94" s="1">
        <v>3</v>
      </c>
      <c r="L94" s="1">
        <v>27</v>
      </c>
      <c r="M94" s="1">
        <v>39</v>
      </c>
      <c r="N94" s="1">
        <v>6</v>
      </c>
      <c r="O94" s="1">
        <v>99</v>
      </c>
      <c r="P94" s="1">
        <v>7</v>
      </c>
      <c r="Q94" s="1">
        <v>7</v>
      </c>
      <c r="R94" s="1">
        <v>1</v>
      </c>
      <c r="S94" s="1">
        <v>5</v>
      </c>
      <c r="T94" s="1">
        <v>8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3</v>
      </c>
      <c r="AB94" s="1">
        <v>11</v>
      </c>
      <c r="AC94" s="1">
        <v>0</v>
      </c>
    </row>
    <row r="95" spans="1:29" x14ac:dyDescent="0.3">
      <c r="A95" s="1">
        <v>2471</v>
      </c>
      <c r="B95" s="1">
        <v>1965</v>
      </c>
      <c r="C95" s="1" t="s">
        <v>31</v>
      </c>
      <c r="D95" s="1" t="s">
        <v>30</v>
      </c>
      <c r="E95" s="1">
        <v>61482</v>
      </c>
      <c r="F95" s="1">
        <v>0</v>
      </c>
      <c r="G95" s="1">
        <v>0</v>
      </c>
      <c r="H95" s="2">
        <v>41817</v>
      </c>
      <c r="I95" s="1">
        <v>39</v>
      </c>
      <c r="J95" s="1">
        <v>48</v>
      </c>
      <c r="K95" s="1">
        <v>58</v>
      </c>
      <c r="L95" s="1">
        <v>68</v>
      </c>
      <c r="M95" s="1">
        <v>16</v>
      </c>
      <c r="N95" s="1">
        <v>66</v>
      </c>
      <c r="O95" s="1">
        <v>43</v>
      </c>
      <c r="P95" s="1">
        <v>1</v>
      </c>
      <c r="Q95" s="1">
        <v>3</v>
      </c>
      <c r="R95" s="1">
        <v>2</v>
      </c>
      <c r="S95" s="1">
        <v>6</v>
      </c>
      <c r="T95" s="1">
        <v>2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3</v>
      </c>
      <c r="AB95" s="1">
        <v>11</v>
      </c>
      <c r="AC95" s="1">
        <v>0</v>
      </c>
    </row>
    <row r="96" spans="1:29" x14ac:dyDescent="0.3">
      <c r="A96" s="1">
        <v>10245</v>
      </c>
      <c r="B96" s="1">
        <v>1986</v>
      </c>
      <c r="C96" s="1" t="s">
        <v>29</v>
      </c>
      <c r="D96" s="1" t="s">
        <v>33</v>
      </c>
      <c r="E96" s="1">
        <v>80910</v>
      </c>
      <c r="F96" s="1">
        <v>0</v>
      </c>
      <c r="G96" s="1">
        <v>0</v>
      </c>
      <c r="H96" s="2">
        <v>41213</v>
      </c>
      <c r="I96" s="1">
        <v>71</v>
      </c>
      <c r="J96" s="1">
        <v>160</v>
      </c>
      <c r="K96" s="1">
        <v>80</v>
      </c>
      <c r="L96" s="1">
        <v>369</v>
      </c>
      <c r="M96" s="1">
        <v>67</v>
      </c>
      <c r="N96" s="1">
        <v>39</v>
      </c>
      <c r="O96" s="1">
        <v>41</v>
      </c>
      <c r="P96" s="1">
        <v>1</v>
      </c>
      <c r="Q96" s="1">
        <v>3</v>
      </c>
      <c r="R96" s="1">
        <v>3</v>
      </c>
      <c r="S96" s="1">
        <v>8</v>
      </c>
      <c r="T96" s="1">
        <v>1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3</v>
      </c>
      <c r="AB96" s="1">
        <v>11</v>
      </c>
      <c r="AC96" s="1">
        <v>0</v>
      </c>
    </row>
    <row r="97" spans="1:29" x14ac:dyDescent="0.3">
      <c r="A97" s="1">
        <v>2952</v>
      </c>
      <c r="B97" s="1">
        <v>1977</v>
      </c>
      <c r="C97" s="1" t="s">
        <v>34</v>
      </c>
      <c r="D97" s="1" t="s">
        <v>33</v>
      </c>
      <c r="E97" s="1">
        <v>36273</v>
      </c>
      <c r="F97" s="1">
        <v>1</v>
      </c>
      <c r="G97" s="1">
        <v>0</v>
      </c>
      <c r="H97" s="2">
        <v>41745</v>
      </c>
      <c r="I97" s="1">
        <v>80</v>
      </c>
      <c r="J97" s="1">
        <v>29</v>
      </c>
      <c r="K97" s="1">
        <v>3</v>
      </c>
      <c r="L97" s="1">
        <v>30</v>
      </c>
      <c r="M97" s="1">
        <v>3</v>
      </c>
      <c r="N97" s="1">
        <v>2</v>
      </c>
      <c r="O97" s="1">
        <v>9</v>
      </c>
      <c r="P97" s="1">
        <v>2</v>
      </c>
      <c r="Q97" s="1">
        <v>3</v>
      </c>
      <c r="R97" s="1">
        <v>0</v>
      </c>
      <c r="S97" s="1">
        <v>3</v>
      </c>
      <c r="T97" s="1">
        <v>6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3</v>
      </c>
      <c r="AB97" s="1">
        <v>11</v>
      </c>
      <c r="AC97" s="1">
        <v>0</v>
      </c>
    </row>
    <row r="98" spans="1:29" x14ac:dyDescent="0.3">
      <c r="A98" s="1">
        <v>3334</v>
      </c>
      <c r="B98" s="1">
        <v>1951</v>
      </c>
      <c r="C98" s="1" t="s">
        <v>31</v>
      </c>
      <c r="D98" s="1" t="s">
        <v>30</v>
      </c>
      <c r="E98" s="1">
        <v>94642</v>
      </c>
      <c r="F98" s="1">
        <v>0</v>
      </c>
      <c r="G98" s="1">
        <v>0</v>
      </c>
      <c r="H98" s="2">
        <v>41682</v>
      </c>
      <c r="I98" s="1">
        <v>35</v>
      </c>
      <c r="J98" s="1">
        <v>879</v>
      </c>
      <c r="K98" s="1">
        <v>143</v>
      </c>
      <c r="L98" s="1">
        <v>797</v>
      </c>
      <c r="M98" s="1">
        <v>106</v>
      </c>
      <c r="N98" s="1">
        <v>143</v>
      </c>
      <c r="O98" s="1">
        <v>143</v>
      </c>
      <c r="P98" s="1">
        <v>0</v>
      </c>
      <c r="Q98" s="1">
        <v>5</v>
      </c>
      <c r="R98" s="1">
        <v>7</v>
      </c>
      <c r="S98" s="1">
        <v>9</v>
      </c>
      <c r="T98" s="1">
        <v>1</v>
      </c>
      <c r="U98" s="1">
        <v>0</v>
      </c>
      <c r="V98" s="1">
        <v>0</v>
      </c>
      <c r="W98" s="1">
        <v>1</v>
      </c>
      <c r="X98" s="1">
        <v>1</v>
      </c>
      <c r="Y98" s="1">
        <v>0</v>
      </c>
      <c r="Z98" s="1">
        <v>0</v>
      </c>
      <c r="AA98" s="1">
        <v>3</v>
      </c>
      <c r="AB98" s="1">
        <v>11</v>
      </c>
      <c r="AC98" s="1">
        <v>0</v>
      </c>
    </row>
    <row r="99" spans="1:29" x14ac:dyDescent="0.3">
      <c r="A99" s="1">
        <v>1340</v>
      </c>
      <c r="B99" s="1">
        <v>1986</v>
      </c>
      <c r="C99" s="1" t="s">
        <v>31</v>
      </c>
      <c r="D99" s="1" t="s">
        <v>30</v>
      </c>
      <c r="E99" s="1">
        <v>92910</v>
      </c>
      <c r="F99" s="1">
        <v>0</v>
      </c>
      <c r="G99" s="1">
        <v>0</v>
      </c>
      <c r="H99" s="2">
        <v>41753</v>
      </c>
      <c r="I99" s="1">
        <v>42</v>
      </c>
      <c r="J99" s="1">
        <v>551</v>
      </c>
      <c r="K99" s="1">
        <v>137</v>
      </c>
      <c r="L99" s="1">
        <v>792</v>
      </c>
      <c r="M99" s="1">
        <v>179</v>
      </c>
      <c r="N99" s="1">
        <v>103</v>
      </c>
      <c r="O99" s="1">
        <v>33</v>
      </c>
      <c r="P99" s="1">
        <v>1</v>
      </c>
      <c r="Q99" s="1">
        <v>6</v>
      </c>
      <c r="R99" s="1">
        <v>7</v>
      </c>
      <c r="S99" s="1">
        <v>13</v>
      </c>
      <c r="T99" s="1">
        <v>1</v>
      </c>
      <c r="U99" s="1">
        <v>0</v>
      </c>
      <c r="V99" s="1">
        <v>1</v>
      </c>
      <c r="W99" s="1">
        <v>1</v>
      </c>
      <c r="X99" s="1">
        <v>1</v>
      </c>
      <c r="Y99" s="1">
        <v>0</v>
      </c>
      <c r="Z99" s="1">
        <v>0</v>
      </c>
      <c r="AA99" s="1">
        <v>3</v>
      </c>
      <c r="AB99" s="1">
        <v>11</v>
      </c>
      <c r="AC99" s="1">
        <v>0</v>
      </c>
    </row>
    <row r="100" spans="1:29" x14ac:dyDescent="0.3">
      <c r="A100" s="1">
        <v>5077</v>
      </c>
      <c r="B100" s="1">
        <v>1979</v>
      </c>
      <c r="C100" s="1" t="s">
        <v>31</v>
      </c>
      <c r="D100" s="1" t="s">
        <v>35</v>
      </c>
      <c r="E100" s="1">
        <v>77298</v>
      </c>
      <c r="F100" s="1">
        <v>0</v>
      </c>
      <c r="G100" s="1">
        <v>1</v>
      </c>
      <c r="H100" s="2">
        <v>41580</v>
      </c>
      <c r="I100" s="1">
        <v>46</v>
      </c>
      <c r="J100" s="1">
        <v>425</v>
      </c>
      <c r="K100" s="1">
        <v>115</v>
      </c>
      <c r="L100" s="1">
        <v>292</v>
      </c>
      <c r="M100" s="1">
        <v>23</v>
      </c>
      <c r="N100" s="1">
        <v>35</v>
      </c>
      <c r="O100" s="1">
        <v>79</v>
      </c>
      <c r="P100" s="1">
        <v>1</v>
      </c>
      <c r="Q100" s="1">
        <v>6</v>
      </c>
      <c r="R100" s="1">
        <v>6</v>
      </c>
      <c r="S100" s="1">
        <v>11</v>
      </c>
      <c r="T100" s="1">
        <v>3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3</v>
      </c>
      <c r="AB100" s="1">
        <v>11</v>
      </c>
      <c r="AC100" s="1">
        <v>0</v>
      </c>
    </row>
    <row r="101" spans="1:29" x14ac:dyDescent="0.3">
      <c r="A101" s="1">
        <v>8553</v>
      </c>
      <c r="B101" s="1">
        <v>1965</v>
      </c>
      <c r="C101" s="1" t="s">
        <v>31</v>
      </c>
      <c r="D101" s="1" t="s">
        <v>30</v>
      </c>
      <c r="E101" s="1">
        <v>44300</v>
      </c>
      <c r="F101" s="1">
        <v>1</v>
      </c>
      <c r="G101" s="1">
        <v>1</v>
      </c>
      <c r="H101" s="2">
        <v>41448</v>
      </c>
      <c r="I101" s="1">
        <v>65</v>
      </c>
      <c r="J101" s="1">
        <v>30</v>
      </c>
      <c r="K101" s="1">
        <v>0</v>
      </c>
      <c r="L101" s="1">
        <v>9</v>
      </c>
      <c r="M101" s="1">
        <v>0</v>
      </c>
      <c r="N101" s="1">
        <v>0</v>
      </c>
      <c r="O101" s="1">
        <v>3</v>
      </c>
      <c r="P101" s="1">
        <v>2</v>
      </c>
      <c r="Q101" s="1">
        <v>1</v>
      </c>
      <c r="R101" s="1">
        <v>0</v>
      </c>
      <c r="S101" s="1">
        <v>3</v>
      </c>
      <c r="T101" s="1">
        <v>6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3</v>
      </c>
      <c r="AB101" s="1">
        <v>11</v>
      </c>
      <c r="AC101" s="1">
        <v>0</v>
      </c>
    </row>
    <row r="102" spans="1:29" s="3" customFormat="1" x14ac:dyDescent="0.3">
      <c r="A102" s="3" t="s">
        <v>39</v>
      </c>
      <c r="E102" s="3">
        <f t="shared" ref="E102:AC102" si="0">SUM(E2:E101)</f>
        <v>5332084</v>
      </c>
      <c r="F102" s="3">
        <f t="shared" si="0"/>
        <v>46</v>
      </c>
      <c r="G102" s="3">
        <f t="shared" si="0"/>
        <v>56</v>
      </c>
      <c r="H102" s="3">
        <f t="shared" si="0"/>
        <v>4142733</v>
      </c>
      <c r="I102" s="3">
        <f t="shared" si="0"/>
        <v>5252</v>
      </c>
      <c r="J102" s="3">
        <f t="shared" si="0"/>
        <v>33358</v>
      </c>
      <c r="K102" s="3">
        <f t="shared" si="0"/>
        <v>2437</v>
      </c>
      <c r="L102" s="3">
        <f t="shared" si="0"/>
        <v>17725</v>
      </c>
      <c r="M102" s="3">
        <f t="shared" si="0"/>
        <v>3781</v>
      </c>
      <c r="N102" s="3">
        <f t="shared" si="0"/>
        <v>3313</v>
      </c>
      <c r="O102" s="3">
        <f t="shared" si="0"/>
        <v>5009</v>
      </c>
      <c r="P102" s="3">
        <f t="shared" si="0"/>
        <v>235</v>
      </c>
      <c r="Q102" s="3">
        <f t="shared" si="0"/>
        <v>422</v>
      </c>
      <c r="R102" s="3">
        <f t="shared" si="0"/>
        <v>255</v>
      </c>
      <c r="S102" s="3">
        <f t="shared" si="0"/>
        <v>558</v>
      </c>
      <c r="T102" s="3">
        <f t="shared" si="0"/>
        <v>528</v>
      </c>
      <c r="U102" s="3">
        <f t="shared" si="0"/>
        <v>10</v>
      </c>
      <c r="V102" s="3">
        <f t="shared" si="0"/>
        <v>7</v>
      </c>
      <c r="W102" s="3">
        <f t="shared" si="0"/>
        <v>10</v>
      </c>
      <c r="X102" s="3">
        <f t="shared" si="0"/>
        <v>8</v>
      </c>
      <c r="Y102" s="3">
        <f t="shared" si="0"/>
        <v>0</v>
      </c>
      <c r="Z102" s="3">
        <f t="shared" si="0"/>
        <v>1</v>
      </c>
      <c r="AA102" s="3">
        <f t="shared" si="0"/>
        <v>300</v>
      </c>
      <c r="AB102" s="3">
        <f t="shared" si="0"/>
        <v>1100</v>
      </c>
      <c r="AC102" s="3">
        <f t="shared" si="0"/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C073-60D3-4D2F-B010-6FF823315AE2}">
  <dimension ref="A1:I102"/>
  <sheetViews>
    <sheetView topLeftCell="G1" zoomScale="85" zoomScaleNormal="85" workbookViewId="0">
      <selection activeCell="I33" sqref="I33"/>
    </sheetView>
  </sheetViews>
  <sheetFormatPr defaultRowHeight="14.4" x14ac:dyDescent="0.3"/>
  <cols>
    <col min="1" max="1" width="11.33203125" bestFit="1" customWidth="1"/>
    <col min="2" max="2" width="17.6640625" style="1" bestFit="1" customWidth="1"/>
    <col min="3" max="3" width="16.88671875" style="1" bestFit="1" customWidth="1"/>
    <col min="4" max="4" width="19.44140625" style="1" bestFit="1" customWidth="1"/>
    <col min="5" max="5" width="17.5546875" style="1" bestFit="1" customWidth="1"/>
    <col min="6" max="6" width="13.44140625" bestFit="1" customWidth="1"/>
    <col min="7" max="7" width="18.33203125" style="9" bestFit="1" customWidth="1"/>
  </cols>
  <sheetData>
    <row r="1" spans="1:9" x14ac:dyDescent="0.3">
      <c r="A1" t="s">
        <v>41</v>
      </c>
      <c r="B1" s="1" t="s">
        <v>15</v>
      </c>
      <c r="C1" s="8" t="s">
        <v>16</v>
      </c>
      <c r="D1" s="1" t="s">
        <v>17</v>
      </c>
      <c r="E1" s="1" t="s">
        <v>18</v>
      </c>
      <c r="F1" s="4" t="s">
        <v>40</v>
      </c>
      <c r="G1" s="10" t="s">
        <v>42</v>
      </c>
    </row>
    <row r="2" spans="1:9" x14ac:dyDescent="0.3">
      <c r="A2">
        <v>1</v>
      </c>
      <c r="B2" s="1">
        <v>1</v>
      </c>
      <c r="C2" s="8">
        <v>2</v>
      </c>
      <c r="D2" s="1">
        <v>1</v>
      </c>
      <c r="E2" s="1">
        <v>4</v>
      </c>
      <c r="F2" s="5">
        <f>B2+C2+D2+E2</f>
        <v>8</v>
      </c>
      <c r="G2" s="9">
        <f>(100/F2*C2)/100</f>
        <v>0.25</v>
      </c>
    </row>
    <row r="3" spans="1:9" x14ac:dyDescent="0.3">
      <c r="A3">
        <f>A2+1</f>
        <v>2</v>
      </c>
      <c r="B3" s="1">
        <v>1</v>
      </c>
      <c r="C3" s="8">
        <v>3</v>
      </c>
      <c r="D3" s="1">
        <v>4</v>
      </c>
      <c r="E3" s="1">
        <v>9</v>
      </c>
      <c r="F3" s="5">
        <f t="shared" ref="F3:F66" si="0">B3+C3+D3+E3</f>
        <v>17</v>
      </c>
      <c r="G3" s="9">
        <f t="shared" ref="G3:G66" si="1">(100/F3*C3)/100</f>
        <v>0.17647058823529413</v>
      </c>
    </row>
    <row r="4" spans="1:9" x14ac:dyDescent="0.3">
      <c r="A4">
        <f t="shared" ref="A4:A67" si="2">A3+1</f>
        <v>3</v>
      </c>
      <c r="B4" s="1">
        <v>3</v>
      </c>
      <c r="C4" s="8">
        <v>5</v>
      </c>
      <c r="D4" s="1">
        <v>2</v>
      </c>
      <c r="E4" s="1">
        <v>11</v>
      </c>
      <c r="F4" s="5">
        <f t="shared" si="0"/>
        <v>21</v>
      </c>
      <c r="G4" s="9">
        <f t="shared" si="1"/>
        <v>0.23809523809523811</v>
      </c>
    </row>
    <row r="5" spans="1:9" x14ac:dyDescent="0.3">
      <c r="A5">
        <f t="shared" si="2"/>
        <v>4</v>
      </c>
      <c r="B5" s="1">
        <v>3</v>
      </c>
      <c r="C5" s="8">
        <v>2</v>
      </c>
      <c r="D5" s="1">
        <v>1</v>
      </c>
      <c r="E5" s="1">
        <v>3</v>
      </c>
      <c r="F5" s="5">
        <f t="shared" si="0"/>
        <v>9</v>
      </c>
      <c r="G5" s="9">
        <f t="shared" si="1"/>
        <v>0.22222222222222221</v>
      </c>
    </row>
    <row r="6" spans="1:9" x14ac:dyDescent="0.3">
      <c r="A6">
        <f t="shared" si="2"/>
        <v>5</v>
      </c>
      <c r="B6" s="1">
        <v>1</v>
      </c>
      <c r="C6" s="8">
        <v>1</v>
      </c>
      <c r="D6" s="1">
        <v>0</v>
      </c>
      <c r="E6" s="1">
        <v>2</v>
      </c>
      <c r="F6" s="5">
        <f t="shared" si="0"/>
        <v>4</v>
      </c>
      <c r="G6" s="9">
        <f t="shared" si="1"/>
        <v>0.25</v>
      </c>
      <c r="I6" s="9"/>
    </row>
    <row r="7" spans="1:9" x14ac:dyDescent="0.3">
      <c r="A7">
        <f t="shared" si="2"/>
        <v>6</v>
      </c>
      <c r="B7" s="1">
        <v>2</v>
      </c>
      <c r="C7" s="8">
        <v>3</v>
      </c>
      <c r="D7" s="1">
        <v>1</v>
      </c>
      <c r="E7" s="1">
        <v>6</v>
      </c>
      <c r="F7" s="5">
        <f t="shared" si="0"/>
        <v>12</v>
      </c>
      <c r="G7" s="9">
        <f t="shared" si="1"/>
        <v>0.25</v>
      </c>
    </row>
    <row r="8" spans="1:9" x14ac:dyDescent="0.3">
      <c r="A8">
        <f t="shared" si="2"/>
        <v>7</v>
      </c>
      <c r="B8" s="1">
        <v>7</v>
      </c>
      <c r="C8" s="8">
        <v>8</v>
      </c>
      <c r="D8" s="1">
        <v>2</v>
      </c>
      <c r="E8" s="1">
        <v>5</v>
      </c>
      <c r="F8" s="5">
        <f t="shared" si="0"/>
        <v>22</v>
      </c>
      <c r="G8" s="9">
        <f t="shared" si="1"/>
        <v>0.36363636363636365</v>
      </c>
    </row>
    <row r="9" spans="1:9" x14ac:dyDescent="0.3">
      <c r="A9">
        <f t="shared" si="2"/>
        <v>8</v>
      </c>
      <c r="B9" s="1">
        <v>3</v>
      </c>
      <c r="C9" s="8">
        <v>2</v>
      </c>
      <c r="D9" s="1">
        <v>1</v>
      </c>
      <c r="E9" s="1">
        <v>3</v>
      </c>
      <c r="F9" s="5">
        <f t="shared" si="0"/>
        <v>9</v>
      </c>
      <c r="G9" s="9">
        <f t="shared" si="1"/>
        <v>0.22222222222222221</v>
      </c>
    </row>
    <row r="10" spans="1:9" x14ac:dyDescent="0.3">
      <c r="A10">
        <f t="shared" si="2"/>
        <v>9</v>
      </c>
      <c r="B10" s="1">
        <v>4</v>
      </c>
      <c r="C10" s="8">
        <v>6</v>
      </c>
      <c r="D10" s="1">
        <v>9</v>
      </c>
      <c r="E10" s="1">
        <v>11</v>
      </c>
      <c r="F10" s="5">
        <f t="shared" si="0"/>
        <v>30</v>
      </c>
      <c r="G10" s="9">
        <f t="shared" si="1"/>
        <v>0.2</v>
      </c>
    </row>
    <row r="11" spans="1:9" x14ac:dyDescent="0.3">
      <c r="A11">
        <f t="shared" si="2"/>
        <v>10</v>
      </c>
      <c r="B11" s="1">
        <v>1</v>
      </c>
      <c r="C11" s="8">
        <v>5</v>
      </c>
      <c r="D11" s="1">
        <v>4</v>
      </c>
      <c r="E11" s="1">
        <v>7</v>
      </c>
      <c r="F11" s="5">
        <f t="shared" si="0"/>
        <v>17</v>
      </c>
      <c r="G11" s="9">
        <f t="shared" si="1"/>
        <v>0.29411764705882354</v>
      </c>
    </row>
    <row r="12" spans="1:9" x14ac:dyDescent="0.3">
      <c r="A12">
        <f t="shared" si="2"/>
        <v>11</v>
      </c>
      <c r="B12" s="1">
        <v>1</v>
      </c>
      <c r="C12" s="8">
        <v>1</v>
      </c>
      <c r="D12" s="1">
        <v>0</v>
      </c>
      <c r="E12" s="1">
        <v>2</v>
      </c>
      <c r="F12" s="5">
        <f t="shared" si="0"/>
        <v>4</v>
      </c>
      <c r="G12" s="9">
        <f t="shared" si="1"/>
        <v>0.25</v>
      </c>
    </row>
    <row r="13" spans="1:9" x14ac:dyDescent="0.3">
      <c r="A13">
        <f t="shared" si="2"/>
        <v>12</v>
      </c>
      <c r="B13" s="1">
        <v>1</v>
      </c>
      <c r="C13" s="8">
        <v>3</v>
      </c>
      <c r="D13" s="1">
        <v>1</v>
      </c>
      <c r="E13" s="1">
        <v>2</v>
      </c>
      <c r="F13" s="5">
        <f t="shared" si="0"/>
        <v>7</v>
      </c>
      <c r="G13" s="9">
        <f t="shared" si="1"/>
        <v>0.4285714285714286</v>
      </c>
    </row>
    <row r="14" spans="1:9" x14ac:dyDescent="0.3">
      <c r="A14">
        <f t="shared" si="2"/>
        <v>13</v>
      </c>
      <c r="B14" s="1">
        <v>1</v>
      </c>
      <c r="C14" s="8">
        <v>6</v>
      </c>
      <c r="D14" s="1">
        <v>6</v>
      </c>
      <c r="E14" s="1">
        <v>7</v>
      </c>
      <c r="F14" s="5">
        <f t="shared" si="0"/>
        <v>20</v>
      </c>
      <c r="G14" s="9">
        <f t="shared" si="1"/>
        <v>0.3</v>
      </c>
    </row>
    <row r="15" spans="1:9" x14ac:dyDescent="0.3">
      <c r="A15">
        <f t="shared" si="2"/>
        <v>14</v>
      </c>
      <c r="B15" s="1">
        <v>3</v>
      </c>
      <c r="C15" s="8">
        <v>2</v>
      </c>
      <c r="D15" s="1">
        <v>1</v>
      </c>
      <c r="E15" s="1">
        <v>4</v>
      </c>
      <c r="F15" s="5">
        <f t="shared" si="0"/>
        <v>10</v>
      </c>
      <c r="G15" s="9">
        <f t="shared" si="1"/>
        <v>0.2</v>
      </c>
    </row>
    <row r="16" spans="1:9" x14ac:dyDescent="0.3">
      <c r="A16">
        <f t="shared" si="2"/>
        <v>15</v>
      </c>
      <c r="B16" s="1">
        <v>6</v>
      </c>
      <c r="C16" s="8">
        <v>11</v>
      </c>
      <c r="D16" s="1">
        <v>2</v>
      </c>
      <c r="E16" s="1">
        <v>7</v>
      </c>
      <c r="F16" s="5">
        <f t="shared" si="0"/>
        <v>26</v>
      </c>
      <c r="G16" s="9">
        <f t="shared" si="1"/>
        <v>0.42307692307692307</v>
      </c>
    </row>
    <row r="17" spans="1:7" x14ac:dyDescent="0.3">
      <c r="A17">
        <f t="shared" si="2"/>
        <v>16</v>
      </c>
      <c r="B17" s="1">
        <v>4</v>
      </c>
      <c r="C17" s="8">
        <v>6</v>
      </c>
      <c r="D17" s="1">
        <v>1</v>
      </c>
      <c r="E17" s="1">
        <v>4</v>
      </c>
      <c r="F17" s="5">
        <f t="shared" si="0"/>
        <v>15</v>
      </c>
      <c r="G17" s="9">
        <f t="shared" si="1"/>
        <v>0.4</v>
      </c>
    </row>
    <row r="18" spans="1:7" x14ac:dyDescent="0.3">
      <c r="A18">
        <f t="shared" si="2"/>
        <v>17</v>
      </c>
      <c r="B18" s="1">
        <v>5</v>
      </c>
      <c r="C18" s="8">
        <v>3</v>
      </c>
      <c r="D18" s="1">
        <v>1</v>
      </c>
      <c r="E18" s="1">
        <v>6</v>
      </c>
      <c r="F18" s="5">
        <f t="shared" si="0"/>
        <v>15</v>
      </c>
      <c r="G18" s="9">
        <f t="shared" si="1"/>
        <v>0.2</v>
      </c>
    </row>
    <row r="19" spans="1:7" x14ac:dyDescent="0.3">
      <c r="A19">
        <f t="shared" si="2"/>
        <v>18</v>
      </c>
      <c r="B19" s="1">
        <v>1</v>
      </c>
      <c r="C19" s="8">
        <v>2</v>
      </c>
      <c r="D19" s="1">
        <v>0</v>
      </c>
      <c r="E19" s="1">
        <v>3</v>
      </c>
      <c r="F19" s="5">
        <f t="shared" si="0"/>
        <v>6</v>
      </c>
      <c r="G19" s="9">
        <f t="shared" si="1"/>
        <v>0.33333333333333337</v>
      </c>
    </row>
    <row r="20" spans="1:7" x14ac:dyDescent="0.3">
      <c r="A20">
        <f t="shared" si="2"/>
        <v>19</v>
      </c>
      <c r="B20" s="1">
        <v>2</v>
      </c>
      <c r="C20" s="8">
        <v>5</v>
      </c>
      <c r="D20" s="1">
        <v>1</v>
      </c>
      <c r="E20" s="1">
        <v>8</v>
      </c>
      <c r="F20" s="5">
        <f t="shared" si="0"/>
        <v>16</v>
      </c>
      <c r="G20" s="9">
        <f t="shared" si="1"/>
        <v>0.3125</v>
      </c>
    </row>
    <row r="21" spans="1:7" x14ac:dyDescent="0.3">
      <c r="A21">
        <f t="shared" si="2"/>
        <v>20</v>
      </c>
      <c r="B21" s="1">
        <v>2</v>
      </c>
      <c r="C21" s="8">
        <v>7</v>
      </c>
      <c r="D21" s="1">
        <v>6</v>
      </c>
      <c r="E21" s="1">
        <v>13</v>
      </c>
      <c r="F21" s="5">
        <f t="shared" si="0"/>
        <v>28</v>
      </c>
      <c r="G21" s="9">
        <f t="shared" si="1"/>
        <v>0.25</v>
      </c>
    </row>
    <row r="22" spans="1:7" x14ac:dyDescent="0.3">
      <c r="A22">
        <f t="shared" si="2"/>
        <v>21</v>
      </c>
      <c r="B22" s="1">
        <v>1</v>
      </c>
      <c r="C22" s="8">
        <v>1</v>
      </c>
      <c r="D22" s="1">
        <v>0</v>
      </c>
      <c r="E22" s="1">
        <v>3</v>
      </c>
      <c r="F22" s="5">
        <f t="shared" si="0"/>
        <v>5</v>
      </c>
      <c r="G22" s="9">
        <f t="shared" si="1"/>
        <v>0.2</v>
      </c>
    </row>
    <row r="23" spans="1:7" x14ac:dyDescent="0.3">
      <c r="A23">
        <f t="shared" si="2"/>
        <v>22</v>
      </c>
      <c r="B23" s="1">
        <v>1</v>
      </c>
      <c r="C23" s="8">
        <v>2</v>
      </c>
      <c r="D23" s="1">
        <v>2</v>
      </c>
      <c r="E23" s="1">
        <v>5</v>
      </c>
      <c r="F23" s="5">
        <f t="shared" si="0"/>
        <v>10</v>
      </c>
      <c r="G23" s="9">
        <f t="shared" si="1"/>
        <v>0.2</v>
      </c>
    </row>
    <row r="24" spans="1:7" x14ac:dyDescent="0.3">
      <c r="A24">
        <f t="shared" si="2"/>
        <v>23</v>
      </c>
      <c r="B24" s="1">
        <v>3</v>
      </c>
      <c r="C24" s="8">
        <v>2</v>
      </c>
      <c r="D24" s="1">
        <v>1</v>
      </c>
      <c r="E24" s="1">
        <v>3</v>
      </c>
      <c r="F24" s="5">
        <f t="shared" si="0"/>
        <v>9</v>
      </c>
      <c r="G24" s="9">
        <f t="shared" si="1"/>
        <v>0.22222222222222221</v>
      </c>
    </row>
    <row r="25" spans="1:7" x14ac:dyDescent="0.3">
      <c r="A25">
        <f t="shared" si="2"/>
        <v>24</v>
      </c>
      <c r="B25" s="1">
        <v>1</v>
      </c>
      <c r="C25" s="8">
        <v>5</v>
      </c>
      <c r="D25" s="1">
        <v>3</v>
      </c>
      <c r="E25" s="1">
        <v>8</v>
      </c>
      <c r="F25" s="5">
        <f t="shared" si="0"/>
        <v>17</v>
      </c>
      <c r="G25" s="9">
        <f t="shared" si="1"/>
        <v>0.29411764705882354</v>
      </c>
    </row>
    <row r="26" spans="1:7" x14ac:dyDescent="0.3">
      <c r="A26">
        <f t="shared" si="2"/>
        <v>25</v>
      </c>
      <c r="B26" s="1">
        <v>1</v>
      </c>
      <c r="C26" s="8">
        <v>3</v>
      </c>
      <c r="D26" s="1">
        <v>5</v>
      </c>
      <c r="E26" s="1">
        <v>5</v>
      </c>
      <c r="F26" s="5">
        <f t="shared" si="0"/>
        <v>14</v>
      </c>
      <c r="G26" s="9">
        <f t="shared" si="1"/>
        <v>0.2142857142857143</v>
      </c>
    </row>
    <row r="27" spans="1:7" x14ac:dyDescent="0.3">
      <c r="A27">
        <f t="shared" si="2"/>
        <v>26</v>
      </c>
      <c r="B27" s="1">
        <v>2</v>
      </c>
      <c r="C27" s="8">
        <v>2</v>
      </c>
      <c r="D27" s="1">
        <v>0</v>
      </c>
      <c r="E27" s="1">
        <v>4</v>
      </c>
      <c r="F27" s="5">
        <f t="shared" si="0"/>
        <v>8</v>
      </c>
      <c r="G27" s="9">
        <f t="shared" si="1"/>
        <v>0.25</v>
      </c>
    </row>
    <row r="28" spans="1:7" x14ac:dyDescent="0.3">
      <c r="A28">
        <f t="shared" si="2"/>
        <v>27</v>
      </c>
      <c r="B28" s="1">
        <v>3</v>
      </c>
      <c r="C28" s="8">
        <v>3</v>
      </c>
      <c r="D28" s="1">
        <v>1</v>
      </c>
      <c r="E28" s="1">
        <v>2</v>
      </c>
      <c r="F28" s="5">
        <f t="shared" si="0"/>
        <v>9</v>
      </c>
      <c r="G28" s="9">
        <f t="shared" si="1"/>
        <v>0.33333333333333326</v>
      </c>
    </row>
    <row r="29" spans="1:7" x14ac:dyDescent="0.3">
      <c r="A29">
        <f t="shared" si="2"/>
        <v>28</v>
      </c>
      <c r="B29" s="1">
        <v>1</v>
      </c>
      <c r="C29" s="8">
        <v>6</v>
      </c>
      <c r="D29" s="1">
        <v>4</v>
      </c>
      <c r="E29" s="1">
        <v>6</v>
      </c>
      <c r="F29" s="5">
        <f t="shared" si="0"/>
        <v>17</v>
      </c>
      <c r="G29" s="9">
        <f t="shared" si="1"/>
        <v>0.35294117647058826</v>
      </c>
    </row>
    <row r="30" spans="1:7" x14ac:dyDescent="0.3">
      <c r="A30">
        <f t="shared" si="2"/>
        <v>29</v>
      </c>
      <c r="B30" s="1">
        <v>2</v>
      </c>
      <c r="C30" s="8">
        <v>6</v>
      </c>
      <c r="D30" s="1">
        <v>3</v>
      </c>
      <c r="E30" s="1">
        <v>5</v>
      </c>
      <c r="F30" s="5">
        <f t="shared" si="0"/>
        <v>16</v>
      </c>
      <c r="G30" s="9">
        <f t="shared" si="1"/>
        <v>0.375</v>
      </c>
    </row>
    <row r="31" spans="1:7" x14ac:dyDescent="0.3">
      <c r="A31">
        <f t="shared" si="2"/>
        <v>30</v>
      </c>
      <c r="B31" s="1">
        <v>1</v>
      </c>
      <c r="C31" s="8">
        <v>6</v>
      </c>
      <c r="D31" s="1">
        <v>2</v>
      </c>
      <c r="E31" s="1">
        <v>8</v>
      </c>
      <c r="F31" s="5">
        <f t="shared" si="0"/>
        <v>17</v>
      </c>
      <c r="G31" s="9">
        <f t="shared" si="1"/>
        <v>0.35294117647058826</v>
      </c>
    </row>
    <row r="32" spans="1:7" x14ac:dyDescent="0.3">
      <c r="A32">
        <f t="shared" si="2"/>
        <v>31</v>
      </c>
      <c r="B32" s="1">
        <v>1</v>
      </c>
      <c r="C32" s="8">
        <v>6</v>
      </c>
      <c r="D32" s="1">
        <v>6</v>
      </c>
      <c r="E32" s="1">
        <v>7</v>
      </c>
      <c r="F32" s="5">
        <f t="shared" si="0"/>
        <v>20</v>
      </c>
      <c r="G32" s="9">
        <f t="shared" si="1"/>
        <v>0.3</v>
      </c>
    </row>
    <row r="33" spans="1:7" x14ac:dyDescent="0.3">
      <c r="A33">
        <f t="shared" si="2"/>
        <v>32</v>
      </c>
      <c r="B33" s="1">
        <v>2</v>
      </c>
      <c r="C33" s="8">
        <v>4</v>
      </c>
      <c r="D33" s="1">
        <v>2</v>
      </c>
      <c r="E33" s="1">
        <v>6</v>
      </c>
      <c r="F33" s="5">
        <f t="shared" si="0"/>
        <v>14</v>
      </c>
      <c r="G33" s="9">
        <f t="shared" si="1"/>
        <v>0.28571428571428575</v>
      </c>
    </row>
    <row r="34" spans="1:7" x14ac:dyDescent="0.3">
      <c r="A34">
        <f t="shared" si="2"/>
        <v>33</v>
      </c>
      <c r="B34" s="1">
        <v>2</v>
      </c>
      <c r="C34" s="8">
        <v>7</v>
      </c>
      <c r="D34" s="1">
        <v>3</v>
      </c>
      <c r="E34" s="1">
        <v>5</v>
      </c>
      <c r="F34" s="5">
        <f t="shared" si="0"/>
        <v>17</v>
      </c>
      <c r="G34" s="9">
        <f t="shared" si="1"/>
        <v>0.41176470588235298</v>
      </c>
    </row>
    <row r="35" spans="1:7" x14ac:dyDescent="0.3">
      <c r="A35">
        <f t="shared" si="2"/>
        <v>34</v>
      </c>
      <c r="B35" s="1">
        <v>3</v>
      </c>
      <c r="C35" s="8">
        <v>2</v>
      </c>
      <c r="D35" s="1">
        <v>1</v>
      </c>
      <c r="E35" s="1">
        <v>4</v>
      </c>
      <c r="F35" s="5">
        <f t="shared" si="0"/>
        <v>10</v>
      </c>
      <c r="G35" s="9">
        <f t="shared" si="1"/>
        <v>0.2</v>
      </c>
    </row>
    <row r="36" spans="1:7" x14ac:dyDescent="0.3">
      <c r="A36">
        <f t="shared" si="2"/>
        <v>35</v>
      </c>
      <c r="B36" s="1">
        <v>1</v>
      </c>
      <c r="C36" s="8">
        <v>5</v>
      </c>
      <c r="D36" s="1">
        <v>8</v>
      </c>
      <c r="E36" s="1">
        <v>4</v>
      </c>
      <c r="F36" s="5">
        <f t="shared" si="0"/>
        <v>18</v>
      </c>
      <c r="G36" s="9">
        <f t="shared" si="1"/>
        <v>0.27777777777777779</v>
      </c>
    </row>
    <row r="37" spans="1:7" x14ac:dyDescent="0.3">
      <c r="A37">
        <f t="shared" si="2"/>
        <v>36</v>
      </c>
      <c r="B37" s="1">
        <v>2</v>
      </c>
      <c r="C37" s="8">
        <v>3</v>
      </c>
      <c r="D37" s="1">
        <v>4</v>
      </c>
      <c r="E37" s="1">
        <v>10</v>
      </c>
      <c r="F37" s="5">
        <f t="shared" si="0"/>
        <v>19</v>
      </c>
      <c r="G37" s="9">
        <f t="shared" si="1"/>
        <v>0.15789473684210528</v>
      </c>
    </row>
    <row r="38" spans="1:7" x14ac:dyDescent="0.3">
      <c r="A38">
        <f t="shared" si="2"/>
        <v>37</v>
      </c>
      <c r="B38" s="1">
        <v>5</v>
      </c>
      <c r="C38" s="8">
        <v>3</v>
      </c>
      <c r="D38" s="1">
        <v>3</v>
      </c>
      <c r="E38" s="1">
        <v>3</v>
      </c>
      <c r="F38" s="5">
        <f t="shared" si="0"/>
        <v>14</v>
      </c>
      <c r="G38" s="9">
        <f t="shared" si="1"/>
        <v>0.2142857142857143</v>
      </c>
    </row>
    <row r="39" spans="1:7" x14ac:dyDescent="0.3">
      <c r="A39">
        <f t="shared" si="2"/>
        <v>38</v>
      </c>
      <c r="B39" s="1">
        <v>4</v>
      </c>
      <c r="C39" s="8">
        <v>3</v>
      </c>
      <c r="D39" s="1">
        <v>1</v>
      </c>
      <c r="E39" s="1">
        <v>5</v>
      </c>
      <c r="F39" s="5">
        <f t="shared" si="0"/>
        <v>13</v>
      </c>
      <c r="G39" s="9">
        <f t="shared" si="1"/>
        <v>0.23076923076923075</v>
      </c>
    </row>
    <row r="40" spans="1:7" x14ac:dyDescent="0.3">
      <c r="A40">
        <f t="shared" si="2"/>
        <v>39</v>
      </c>
      <c r="B40" s="1">
        <v>1</v>
      </c>
      <c r="C40" s="8">
        <v>5</v>
      </c>
      <c r="D40" s="1">
        <v>3</v>
      </c>
      <c r="E40" s="1">
        <v>5</v>
      </c>
      <c r="F40" s="5">
        <f t="shared" si="0"/>
        <v>14</v>
      </c>
      <c r="G40" s="9">
        <f t="shared" si="1"/>
        <v>0.35714285714285715</v>
      </c>
    </row>
    <row r="41" spans="1:7" x14ac:dyDescent="0.3">
      <c r="A41">
        <f t="shared" si="2"/>
        <v>40</v>
      </c>
      <c r="B41" s="1">
        <v>3</v>
      </c>
      <c r="C41" s="8">
        <v>3</v>
      </c>
      <c r="D41" s="1">
        <v>3</v>
      </c>
      <c r="E41" s="1">
        <v>5</v>
      </c>
      <c r="F41" s="5">
        <f t="shared" si="0"/>
        <v>14</v>
      </c>
      <c r="G41" s="9">
        <f t="shared" si="1"/>
        <v>0.2142857142857143</v>
      </c>
    </row>
    <row r="42" spans="1:7" x14ac:dyDescent="0.3">
      <c r="A42">
        <f t="shared" si="2"/>
        <v>41</v>
      </c>
      <c r="B42" s="1">
        <v>2</v>
      </c>
      <c r="C42" s="8">
        <v>8</v>
      </c>
      <c r="D42" s="1">
        <v>5</v>
      </c>
      <c r="E42" s="1">
        <v>11</v>
      </c>
      <c r="F42" s="5">
        <f t="shared" si="0"/>
        <v>26</v>
      </c>
      <c r="G42" s="9">
        <f t="shared" si="1"/>
        <v>0.30769230769230771</v>
      </c>
    </row>
    <row r="43" spans="1:7" x14ac:dyDescent="0.3">
      <c r="A43">
        <f t="shared" si="2"/>
        <v>42</v>
      </c>
      <c r="B43" s="1">
        <v>2</v>
      </c>
      <c r="C43" s="8">
        <v>1</v>
      </c>
      <c r="D43" s="1">
        <v>0</v>
      </c>
      <c r="E43" s="1">
        <v>3</v>
      </c>
      <c r="F43" s="5">
        <f t="shared" si="0"/>
        <v>6</v>
      </c>
      <c r="G43" s="9">
        <f t="shared" si="1"/>
        <v>0.16666666666666669</v>
      </c>
    </row>
    <row r="44" spans="1:7" x14ac:dyDescent="0.3">
      <c r="A44">
        <f t="shared" si="2"/>
        <v>43</v>
      </c>
      <c r="B44" s="1">
        <v>5</v>
      </c>
      <c r="C44" s="8">
        <v>4</v>
      </c>
      <c r="D44" s="1">
        <v>1</v>
      </c>
      <c r="E44" s="1">
        <v>8</v>
      </c>
      <c r="F44" s="5">
        <f t="shared" si="0"/>
        <v>18</v>
      </c>
      <c r="G44" s="9">
        <f t="shared" si="1"/>
        <v>0.22222222222222221</v>
      </c>
    </row>
    <row r="45" spans="1:7" x14ac:dyDescent="0.3">
      <c r="A45">
        <f t="shared" si="2"/>
        <v>44</v>
      </c>
      <c r="B45" s="1">
        <v>2</v>
      </c>
      <c r="C45" s="8">
        <v>1</v>
      </c>
      <c r="D45" s="1">
        <v>0</v>
      </c>
      <c r="E45" s="1">
        <v>3</v>
      </c>
      <c r="F45" s="5">
        <f t="shared" si="0"/>
        <v>6</v>
      </c>
      <c r="G45" s="9">
        <f t="shared" si="1"/>
        <v>0.16666666666666669</v>
      </c>
    </row>
    <row r="46" spans="1:7" x14ac:dyDescent="0.3">
      <c r="A46">
        <f t="shared" si="2"/>
        <v>45</v>
      </c>
      <c r="B46" s="1">
        <v>4</v>
      </c>
      <c r="C46" s="8">
        <v>3</v>
      </c>
      <c r="D46" s="1">
        <v>2</v>
      </c>
      <c r="E46" s="1">
        <v>2</v>
      </c>
      <c r="F46" s="5">
        <f t="shared" si="0"/>
        <v>11</v>
      </c>
      <c r="G46" s="9">
        <f t="shared" si="1"/>
        <v>0.27272727272727271</v>
      </c>
    </row>
    <row r="47" spans="1:7" x14ac:dyDescent="0.3">
      <c r="A47">
        <f t="shared" si="2"/>
        <v>46</v>
      </c>
      <c r="B47" s="1">
        <v>1</v>
      </c>
      <c r="C47" s="8">
        <v>6</v>
      </c>
      <c r="D47" s="1">
        <v>3</v>
      </c>
      <c r="E47" s="1">
        <v>6</v>
      </c>
      <c r="F47" s="5">
        <f t="shared" si="0"/>
        <v>16</v>
      </c>
      <c r="G47" s="9">
        <f t="shared" si="1"/>
        <v>0.375</v>
      </c>
    </row>
    <row r="48" spans="1:7" x14ac:dyDescent="0.3">
      <c r="A48">
        <f t="shared" si="2"/>
        <v>47</v>
      </c>
      <c r="B48" s="1">
        <v>3</v>
      </c>
      <c r="C48" s="8">
        <v>3</v>
      </c>
      <c r="D48" s="1">
        <v>1</v>
      </c>
      <c r="E48" s="1">
        <v>2</v>
      </c>
      <c r="F48" s="5">
        <f t="shared" si="0"/>
        <v>9</v>
      </c>
      <c r="G48" s="9">
        <f t="shared" si="1"/>
        <v>0.33333333333333326</v>
      </c>
    </row>
    <row r="49" spans="1:7" x14ac:dyDescent="0.3">
      <c r="A49">
        <f t="shared" si="2"/>
        <v>48</v>
      </c>
      <c r="B49" s="1">
        <v>2</v>
      </c>
      <c r="C49" s="8">
        <v>5</v>
      </c>
      <c r="D49" s="1">
        <v>1</v>
      </c>
      <c r="E49" s="1">
        <v>6</v>
      </c>
      <c r="F49" s="5">
        <f t="shared" si="0"/>
        <v>14</v>
      </c>
      <c r="G49" s="9">
        <f t="shared" si="1"/>
        <v>0.35714285714285715</v>
      </c>
    </row>
    <row r="50" spans="1:7" x14ac:dyDescent="0.3">
      <c r="A50">
        <f t="shared" si="2"/>
        <v>49</v>
      </c>
      <c r="B50" s="1">
        <v>4</v>
      </c>
      <c r="C50" s="8">
        <v>3</v>
      </c>
      <c r="D50" s="1">
        <v>4</v>
      </c>
      <c r="E50" s="1">
        <v>11</v>
      </c>
      <c r="F50" s="5">
        <f t="shared" si="0"/>
        <v>22</v>
      </c>
      <c r="G50" s="9">
        <f t="shared" si="1"/>
        <v>0.13636363636363635</v>
      </c>
    </row>
    <row r="51" spans="1:7" x14ac:dyDescent="0.3">
      <c r="A51">
        <f t="shared" si="2"/>
        <v>50</v>
      </c>
      <c r="B51" s="1">
        <v>1</v>
      </c>
      <c r="C51" s="8">
        <v>1</v>
      </c>
      <c r="D51" s="1">
        <v>1</v>
      </c>
      <c r="E51" s="1">
        <v>2</v>
      </c>
      <c r="F51" s="5">
        <f t="shared" si="0"/>
        <v>5</v>
      </c>
      <c r="G51" s="9">
        <f t="shared" si="1"/>
        <v>0.2</v>
      </c>
    </row>
    <row r="52" spans="1:7" x14ac:dyDescent="0.3">
      <c r="A52">
        <f t="shared" si="2"/>
        <v>51</v>
      </c>
      <c r="B52" s="1">
        <v>1</v>
      </c>
      <c r="C52" s="8">
        <v>1</v>
      </c>
      <c r="D52" s="1">
        <v>0</v>
      </c>
      <c r="E52" s="1">
        <v>2</v>
      </c>
      <c r="F52" s="5">
        <f t="shared" si="0"/>
        <v>4</v>
      </c>
      <c r="G52" s="9">
        <f t="shared" si="1"/>
        <v>0.25</v>
      </c>
    </row>
    <row r="53" spans="1:7" x14ac:dyDescent="0.3">
      <c r="A53">
        <f t="shared" si="2"/>
        <v>52</v>
      </c>
      <c r="B53" s="1">
        <v>1</v>
      </c>
      <c r="C53" s="8">
        <v>3</v>
      </c>
      <c r="D53" s="1">
        <v>0</v>
      </c>
      <c r="E53" s="1">
        <v>2</v>
      </c>
      <c r="F53" s="5">
        <f t="shared" si="0"/>
        <v>6</v>
      </c>
      <c r="G53" s="12">
        <f t="shared" si="1"/>
        <v>0.5</v>
      </c>
    </row>
    <row r="54" spans="1:7" x14ac:dyDescent="0.3">
      <c r="A54">
        <f t="shared" si="2"/>
        <v>53</v>
      </c>
      <c r="B54" s="1">
        <v>1</v>
      </c>
      <c r="C54" s="8">
        <v>2</v>
      </c>
      <c r="D54" s="1">
        <v>10</v>
      </c>
      <c r="E54" s="1">
        <v>6</v>
      </c>
      <c r="F54" s="5">
        <f t="shared" si="0"/>
        <v>19</v>
      </c>
      <c r="G54" s="9">
        <f t="shared" si="1"/>
        <v>0.10526315789473685</v>
      </c>
    </row>
    <row r="55" spans="1:7" x14ac:dyDescent="0.3">
      <c r="A55">
        <f t="shared" si="2"/>
        <v>54</v>
      </c>
      <c r="B55" s="1">
        <v>1</v>
      </c>
      <c r="C55" s="8">
        <v>2</v>
      </c>
      <c r="D55" s="1">
        <v>0</v>
      </c>
      <c r="E55" s="1">
        <v>3</v>
      </c>
      <c r="F55" s="5">
        <f t="shared" si="0"/>
        <v>6</v>
      </c>
      <c r="G55" s="9">
        <f t="shared" si="1"/>
        <v>0.33333333333333337</v>
      </c>
    </row>
    <row r="56" spans="1:7" x14ac:dyDescent="0.3">
      <c r="A56">
        <f t="shared" si="2"/>
        <v>55</v>
      </c>
      <c r="B56" s="1">
        <v>2</v>
      </c>
      <c r="C56" s="8">
        <v>9</v>
      </c>
      <c r="D56" s="1">
        <v>3</v>
      </c>
      <c r="E56" s="1">
        <v>4</v>
      </c>
      <c r="F56" s="5">
        <f t="shared" si="0"/>
        <v>18</v>
      </c>
      <c r="G56" s="12">
        <f t="shared" si="1"/>
        <v>0.5</v>
      </c>
    </row>
    <row r="57" spans="1:7" x14ac:dyDescent="0.3">
      <c r="A57">
        <f t="shared" si="2"/>
        <v>56</v>
      </c>
      <c r="B57" s="1">
        <v>3</v>
      </c>
      <c r="C57" s="8">
        <v>5</v>
      </c>
      <c r="D57" s="1">
        <v>5</v>
      </c>
      <c r="E57" s="1">
        <v>5</v>
      </c>
      <c r="F57" s="5">
        <f t="shared" si="0"/>
        <v>18</v>
      </c>
      <c r="G57" s="9">
        <f t="shared" si="1"/>
        <v>0.27777777777777779</v>
      </c>
    </row>
    <row r="58" spans="1:7" x14ac:dyDescent="0.3">
      <c r="A58">
        <f t="shared" si="2"/>
        <v>57</v>
      </c>
      <c r="B58" s="1">
        <v>1</v>
      </c>
      <c r="C58" s="8">
        <v>4</v>
      </c>
      <c r="D58" s="1">
        <v>7</v>
      </c>
      <c r="E58" s="1">
        <v>5</v>
      </c>
      <c r="F58" s="5">
        <f t="shared" si="0"/>
        <v>17</v>
      </c>
      <c r="G58" s="9">
        <f t="shared" si="1"/>
        <v>0.23529411764705885</v>
      </c>
    </row>
    <row r="59" spans="1:7" x14ac:dyDescent="0.3">
      <c r="A59">
        <f t="shared" si="2"/>
        <v>58</v>
      </c>
      <c r="B59" s="1">
        <v>7</v>
      </c>
      <c r="C59" s="8">
        <v>4</v>
      </c>
      <c r="D59" s="1">
        <v>3</v>
      </c>
      <c r="E59" s="1">
        <v>5</v>
      </c>
      <c r="F59" s="5">
        <f t="shared" si="0"/>
        <v>19</v>
      </c>
      <c r="G59" s="9">
        <f t="shared" si="1"/>
        <v>0.2105263157894737</v>
      </c>
    </row>
    <row r="60" spans="1:7" x14ac:dyDescent="0.3">
      <c r="A60">
        <f t="shared" si="2"/>
        <v>59</v>
      </c>
      <c r="B60" s="1">
        <v>2</v>
      </c>
      <c r="C60" s="8">
        <v>1</v>
      </c>
      <c r="D60" s="1">
        <v>1</v>
      </c>
      <c r="E60" s="1">
        <v>2</v>
      </c>
      <c r="F60" s="5">
        <f t="shared" si="0"/>
        <v>6</v>
      </c>
      <c r="G60" s="9">
        <f t="shared" si="1"/>
        <v>0.16666666666666669</v>
      </c>
    </row>
    <row r="61" spans="1:7" x14ac:dyDescent="0.3">
      <c r="A61">
        <f t="shared" si="2"/>
        <v>60</v>
      </c>
      <c r="B61" s="1">
        <v>4</v>
      </c>
      <c r="C61" s="8">
        <v>7</v>
      </c>
      <c r="D61" s="1">
        <v>2</v>
      </c>
      <c r="E61" s="1">
        <v>9</v>
      </c>
      <c r="F61" s="5">
        <f t="shared" si="0"/>
        <v>22</v>
      </c>
      <c r="G61" s="9">
        <f t="shared" si="1"/>
        <v>0.31818181818181818</v>
      </c>
    </row>
    <row r="62" spans="1:7" x14ac:dyDescent="0.3">
      <c r="A62">
        <f t="shared" si="2"/>
        <v>61</v>
      </c>
      <c r="B62" s="1">
        <v>5</v>
      </c>
      <c r="C62" s="8">
        <v>7</v>
      </c>
      <c r="D62" s="1">
        <v>1</v>
      </c>
      <c r="E62" s="1">
        <v>6</v>
      </c>
      <c r="F62" s="5">
        <f t="shared" si="0"/>
        <v>19</v>
      </c>
      <c r="G62" s="9">
        <f t="shared" si="1"/>
        <v>0.36842105263157898</v>
      </c>
    </row>
    <row r="63" spans="1:7" x14ac:dyDescent="0.3">
      <c r="A63">
        <f t="shared" si="2"/>
        <v>62</v>
      </c>
      <c r="B63" s="1">
        <v>5</v>
      </c>
      <c r="C63" s="8">
        <v>7</v>
      </c>
      <c r="D63" s="1">
        <v>1</v>
      </c>
      <c r="E63" s="1">
        <v>6</v>
      </c>
      <c r="F63" s="5">
        <f t="shared" si="0"/>
        <v>19</v>
      </c>
      <c r="G63" s="9">
        <f t="shared" si="1"/>
        <v>0.36842105263157898</v>
      </c>
    </row>
    <row r="64" spans="1:7" x14ac:dyDescent="0.3">
      <c r="A64">
        <f t="shared" si="2"/>
        <v>63</v>
      </c>
      <c r="B64" s="1">
        <v>2</v>
      </c>
      <c r="C64" s="8">
        <v>1</v>
      </c>
      <c r="D64" s="1">
        <v>0</v>
      </c>
      <c r="E64" s="1">
        <v>3</v>
      </c>
      <c r="F64" s="5">
        <f t="shared" si="0"/>
        <v>6</v>
      </c>
      <c r="G64" s="9">
        <f t="shared" si="1"/>
        <v>0.16666666666666669</v>
      </c>
    </row>
    <row r="65" spans="1:7" x14ac:dyDescent="0.3">
      <c r="A65">
        <f t="shared" si="2"/>
        <v>64</v>
      </c>
      <c r="B65" s="1">
        <v>1</v>
      </c>
      <c r="C65" s="8">
        <v>8</v>
      </c>
      <c r="D65" s="1">
        <v>4</v>
      </c>
      <c r="E65" s="1">
        <v>6</v>
      </c>
      <c r="F65" s="5">
        <f t="shared" si="0"/>
        <v>19</v>
      </c>
      <c r="G65" s="9">
        <f t="shared" si="1"/>
        <v>0.4210526315789474</v>
      </c>
    </row>
    <row r="66" spans="1:7" x14ac:dyDescent="0.3">
      <c r="A66">
        <f t="shared" si="2"/>
        <v>65</v>
      </c>
      <c r="B66" s="1">
        <v>1</v>
      </c>
      <c r="C66" s="8">
        <v>4</v>
      </c>
      <c r="D66" s="1">
        <v>7</v>
      </c>
      <c r="E66" s="1">
        <v>9</v>
      </c>
      <c r="F66" s="5">
        <f t="shared" si="0"/>
        <v>21</v>
      </c>
      <c r="G66" s="9">
        <f t="shared" si="1"/>
        <v>0.19047619047619047</v>
      </c>
    </row>
    <row r="67" spans="1:7" x14ac:dyDescent="0.3">
      <c r="A67">
        <f t="shared" si="2"/>
        <v>66</v>
      </c>
      <c r="B67" s="1">
        <v>3</v>
      </c>
      <c r="C67" s="8">
        <v>9</v>
      </c>
      <c r="D67" s="1">
        <v>1</v>
      </c>
      <c r="E67" s="1">
        <v>8</v>
      </c>
      <c r="F67" s="5">
        <f t="shared" ref="F67:F101" si="3">B67+C67+D67+E67</f>
        <v>21</v>
      </c>
      <c r="G67" s="9">
        <f t="shared" ref="G67:G102" si="4">(100/F67*C67)/100</f>
        <v>0.42857142857142855</v>
      </c>
    </row>
    <row r="68" spans="1:7" x14ac:dyDescent="0.3">
      <c r="A68">
        <f t="shared" ref="A68:A101" si="5">A67+1</f>
        <v>67</v>
      </c>
      <c r="B68" s="1">
        <v>4</v>
      </c>
      <c r="C68" s="8">
        <v>2</v>
      </c>
      <c r="D68" s="1">
        <v>1</v>
      </c>
      <c r="E68" s="1">
        <v>3</v>
      </c>
      <c r="F68" s="5">
        <f t="shared" si="3"/>
        <v>10</v>
      </c>
      <c r="G68" s="9">
        <f t="shared" si="4"/>
        <v>0.2</v>
      </c>
    </row>
    <row r="69" spans="1:7" x14ac:dyDescent="0.3">
      <c r="A69">
        <f t="shared" si="5"/>
        <v>68</v>
      </c>
      <c r="B69" s="1">
        <v>3</v>
      </c>
      <c r="C69" s="8">
        <v>2</v>
      </c>
      <c r="D69" s="1">
        <v>1</v>
      </c>
      <c r="E69" s="1">
        <v>4</v>
      </c>
      <c r="F69" s="5">
        <f t="shared" si="3"/>
        <v>10</v>
      </c>
      <c r="G69" s="9">
        <f t="shared" si="4"/>
        <v>0.2</v>
      </c>
    </row>
    <row r="70" spans="1:7" x14ac:dyDescent="0.3">
      <c r="A70">
        <f t="shared" si="5"/>
        <v>69</v>
      </c>
      <c r="B70" s="1">
        <v>2</v>
      </c>
      <c r="C70" s="8">
        <v>3</v>
      </c>
      <c r="D70" s="1">
        <v>0</v>
      </c>
      <c r="E70" s="1">
        <v>3</v>
      </c>
      <c r="F70" s="5">
        <f t="shared" si="3"/>
        <v>8</v>
      </c>
      <c r="G70" s="9">
        <f t="shared" si="4"/>
        <v>0.375</v>
      </c>
    </row>
    <row r="71" spans="1:7" x14ac:dyDescent="0.3">
      <c r="A71">
        <f t="shared" si="5"/>
        <v>70</v>
      </c>
      <c r="B71" s="1">
        <v>7</v>
      </c>
      <c r="C71" s="8">
        <v>7</v>
      </c>
      <c r="D71" s="1">
        <v>1</v>
      </c>
      <c r="E71" s="1">
        <v>5</v>
      </c>
      <c r="F71" s="5">
        <f t="shared" si="3"/>
        <v>20</v>
      </c>
      <c r="G71" s="9">
        <f t="shared" si="4"/>
        <v>0.35</v>
      </c>
    </row>
    <row r="72" spans="1:7" x14ac:dyDescent="0.3">
      <c r="A72">
        <f t="shared" si="5"/>
        <v>71</v>
      </c>
      <c r="B72" s="1">
        <v>4</v>
      </c>
      <c r="C72" s="8">
        <v>6</v>
      </c>
      <c r="D72" s="1">
        <v>1</v>
      </c>
      <c r="E72" s="1">
        <v>6</v>
      </c>
      <c r="F72" s="5">
        <f t="shared" si="3"/>
        <v>17</v>
      </c>
      <c r="G72" s="9">
        <f t="shared" si="4"/>
        <v>0.35294117647058826</v>
      </c>
    </row>
    <row r="73" spans="1:7" x14ac:dyDescent="0.3">
      <c r="A73">
        <f t="shared" si="5"/>
        <v>72</v>
      </c>
      <c r="B73" s="1">
        <v>3</v>
      </c>
      <c r="C73" s="8">
        <v>2</v>
      </c>
      <c r="D73" s="1">
        <v>1</v>
      </c>
      <c r="E73" s="1">
        <v>4</v>
      </c>
      <c r="F73" s="5">
        <f t="shared" si="3"/>
        <v>10</v>
      </c>
      <c r="G73" s="9">
        <f t="shared" si="4"/>
        <v>0.2</v>
      </c>
    </row>
    <row r="74" spans="1:7" x14ac:dyDescent="0.3">
      <c r="A74">
        <f t="shared" si="5"/>
        <v>73</v>
      </c>
      <c r="B74" s="1">
        <v>1</v>
      </c>
      <c r="C74" s="8">
        <v>4</v>
      </c>
      <c r="D74" s="1">
        <v>4</v>
      </c>
      <c r="E74" s="1">
        <v>8</v>
      </c>
      <c r="F74" s="5">
        <f t="shared" si="3"/>
        <v>17</v>
      </c>
      <c r="G74" s="9">
        <f t="shared" si="4"/>
        <v>0.23529411764705885</v>
      </c>
    </row>
    <row r="75" spans="1:7" x14ac:dyDescent="0.3">
      <c r="A75">
        <f t="shared" si="5"/>
        <v>74</v>
      </c>
      <c r="B75" s="1">
        <v>1</v>
      </c>
      <c r="C75" s="8">
        <v>4</v>
      </c>
      <c r="D75" s="1">
        <v>10</v>
      </c>
      <c r="E75" s="1">
        <v>9</v>
      </c>
      <c r="F75" s="5">
        <f t="shared" si="3"/>
        <v>24</v>
      </c>
      <c r="G75" s="9">
        <f t="shared" si="4"/>
        <v>0.16666666666666669</v>
      </c>
    </row>
    <row r="76" spans="1:7" x14ac:dyDescent="0.3">
      <c r="A76">
        <f t="shared" si="5"/>
        <v>75</v>
      </c>
      <c r="B76" s="1">
        <v>4</v>
      </c>
      <c r="C76" s="8">
        <v>9</v>
      </c>
      <c r="D76" s="1">
        <v>5</v>
      </c>
      <c r="E76" s="1">
        <v>7</v>
      </c>
      <c r="F76" s="5">
        <f t="shared" si="3"/>
        <v>25</v>
      </c>
      <c r="G76" s="9">
        <f t="shared" si="4"/>
        <v>0.36</v>
      </c>
    </row>
    <row r="77" spans="1:7" x14ac:dyDescent="0.3">
      <c r="A77">
        <f t="shared" si="5"/>
        <v>76</v>
      </c>
      <c r="B77" s="1">
        <v>2</v>
      </c>
      <c r="C77" s="8">
        <v>7</v>
      </c>
      <c r="D77" s="1">
        <v>10</v>
      </c>
      <c r="E77" s="1">
        <v>5</v>
      </c>
      <c r="F77" s="5">
        <f t="shared" si="3"/>
        <v>24</v>
      </c>
      <c r="G77" s="9">
        <f t="shared" si="4"/>
        <v>0.29166666666666669</v>
      </c>
    </row>
    <row r="78" spans="1:7" x14ac:dyDescent="0.3">
      <c r="A78">
        <f t="shared" si="5"/>
        <v>77</v>
      </c>
      <c r="B78" s="1">
        <v>2</v>
      </c>
      <c r="C78" s="8">
        <v>1</v>
      </c>
      <c r="D78" s="1">
        <v>0</v>
      </c>
      <c r="E78" s="1">
        <v>3</v>
      </c>
      <c r="F78" s="5">
        <f t="shared" si="3"/>
        <v>6</v>
      </c>
      <c r="G78" s="9">
        <f t="shared" si="4"/>
        <v>0.16666666666666669</v>
      </c>
    </row>
    <row r="79" spans="1:7" x14ac:dyDescent="0.3">
      <c r="A79">
        <f t="shared" si="5"/>
        <v>78</v>
      </c>
      <c r="B79" s="1">
        <v>3</v>
      </c>
      <c r="C79" s="8">
        <v>7</v>
      </c>
      <c r="D79" s="1">
        <v>1</v>
      </c>
      <c r="E79" s="1">
        <v>8</v>
      </c>
      <c r="F79" s="5">
        <f t="shared" si="3"/>
        <v>19</v>
      </c>
      <c r="G79" s="9">
        <f t="shared" si="4"/>
        <v>0.36842105263157898</v>
      </c>
    </row>
    <row r="80" spans="1:7" x14ac:dyDescent="0.3">
      <c r="A80">
        <f t="shared" si="5"/>
        <v>79</v>
      </c>
      <c r="B80" s="1">
        <v>2</v>
      </c>
      <c r="C80" s="8">
        <v>3</v>
      </c>
      <c r="D80" s="1">
        <v>2</v>
      </c>
      <c r="E80" s="1">
        <v>5</v>
      </c>
      <c r="F80" s="5">
        <f t="shared" si="3"/>
        <v>12</v>
      </c>
      <c r="G80" s="9">
        <f t="shared" si="4"/>
        <v>0.25</v>
      </c>
    </row>
    <row r="81" spans="1:7" x14ac:dyDescent="0.3">
      <c r="A81">
        <f t="shared" si="5"/>
        <v>80</v>
      </c>
      <c r="B81" s="1">
        <v>1</v>
      </c>
      <c r="C81" s="8">
        <v>4</v>
      </c>
      <c r="D81" s="1">
        <v>6</v>
      </c>
      <c r="E81" s="1">
        <v>6</v>
      </c>
      <c r="F81" s="5">
        <f t="shared" si="3"/>
        <v>17</v>
      </c>
      <c r="G81" s="9">
        <f t="shared" si="4"/>
        <v>0.23529411764705885</v>
      </c>
    </row>
    <row r="82" spans="1:7" x14ac:dyDescent="0.3">
      <c r="A82">
        <f t="shared" si="5"/>
        <v>81</v>
      </c>
      <c r="B82" s="1">
        <v>4</v>
      </c>
      <c r="C82" s="8">
        <v>7</v>
      </c>
      <c r="D82" s="1">
        <v>1</v>
      </c>
      <c r="E82" s="1">
        <v>6</v>
      </c>
      <c r="F82" s="5">
        <f t="shared" si="3"/>
        <v>18</v>
      </c>
      <c r="G82" s="9">
        <f t="shared" si="4"/>
        <v>0.38888888888888884</v>
      </c>
    </row>
    <row r="83" spans="1:7" x14ac:dyDescent="0.3">
      <c r="A83">
        <f t="shared" si="5"/>
        <v>82</v>
      </c>
      <c r="B83" s="1">
        <v>1</v>
      </c>
      <c r="C83" s="8">
        <v>5</v>
      </c>
      <c r="D83" s="1">
        <v>7</v>
      </c>
      <c r="E83" s="1">
        <v>6</v>
      </c>
      <c r="F83" s="5">
        <f t="shared" si="3"/>
        <v>19</v>
      </c>
      <c r="G83" s="9">
        <f t="shared" si="4"/>
        <v>0.26315789473684215</v>
      </c>
    </row>
    <row r="84" spans="1:7" x14ac:dyDescent="0.3">
      <c r="A84">
        <f t="shared" si="5"/>
        <v>83</v>
      </c>
      <c r="B84" s="1">
        <v>1</v>
      </c>
      <c r="C84" s="8">
        <v>1</v>
      </c>
      <c r="D84" s="1">
        <v>0</v>
      </c>
      <c r="E84" s="1">
        <v>3</v>
      </c>
      <c r="F84" s="5">
        <f t="shared" si="3"/>
        <v>5</v>
      </c>
      <c r="G84" s="9">
        <f t="shared" si="4"/>
        <v>0.2</v>
      </c>
    </row>
    <row r="85" spans="1:7" x14ac:dyDescent="0.3">
      <c r="A85">
        <f t="shared" si="5"/>
        <v>84</v>
      </c>
      <c r="B85" s="1">
        <v>4</v>
      </c>
      <c r="C85" s="8">
        <v>7</v>
      </c>
      <c r="D85" s="1">
        <v>2</v>
      </c>
      <c r="E85" s="1">
        <v>5</v>
      </c>
      <c r="F85" s="5">
        <f t="shared" si="3"/>
        <v>18</v>
      </c>
      <c r="G85" s="9">
        <f t="shared" si="4"/>
        <v>0.38888888888888884</v>
      </c>
    </row>
    <row r="86" spans="1:7" x14ac:dyDescent="0.3">
      <c r="A86">
        <f t="shared" si="5"/>
        <v>85</v>
      </c>
      <c r="B86" s="1">
        <v>1</v>
      </c>
      <c r="C86" s="8">
        <v>6</v>
      </c>
      <c r="D86" s="1">
        <v>5</v>
      </c>
      <c r="E86" s="1">
        <v>13</v>
      </c>
      <c r="F86" s="5">
        <f t="shared" si="3"/>
        <v>25</v>
      </c>
      <c r="G86" s="9">
        <f t="shared" si="4"/>
        <v>0.24</v>
      </c>
    </row>
    <row r="87" spans="1:7" x14ac:dyDescent="0.3">
      <c r="A87">
        <f t="shared" si="5"/>
        <v>86</v>
      </c>
      <c r="B87" s="1">
        <v>1</v>
      </c>
      <c r="C87" s="8">
        <v>2</v>
      </c>
      <c r="D87" s="1">
        <v>0</v>
      </c>
      <c r="E87" s="1">
        <v>3</v>
      </c>
      <c r="F87" s="5">
        <f t="shared" si="3"/>
        <v>6</v>
      </c>
      <c r="G87" s="9">
        <f t="shared" si="4"/>
        <v>0.33333333333333337</v>
      </c>
    </row>
    <row r="88" spans="1:7" x14ac:dyDescent="0.3">
      <c r="A88">
        <f t="shared" si="5"/>
        <v>87</v>
      </c>
      <c r="B88" s="1">
        <v>3</v>
      </c>
      <c r="C88" s="8">
        <v>5</v>
      </c>
      <c r="D88" s="1">
        <v>2</v>
      </c>
      <c r="E88" s="1">
        <v>6</v>
      </c>
      <c r="F88" s="5">
        <f t="shared" si="3"/>
        <v>16</v>
      </c>
      <c r="G88" s="9">
        <f t="shared" si="4"/>
        <v>0.3125</v>
      </c>
    </row>
    <row r="89" spans="1:7" x14ac:dyDescent="0.3">
      <c r="A89">
        <f t="shared" si="5"/>
        <v>88</v>
      </c>
      <c r="B89" s="1">
        <v>1</v>
      </c>
      <c r="C89" s="8">
        <v>10</v>
      </c>
      <c r="D89" s="1">
        <v>2</v>
      </c>
      <c r="E89" s="1">
        <v>8</v>
      </c>
      <c r="F89" s="5">
        <f t="shared" si="3"/>
        <v>21</v>
      </c>
      <c r="G89" s="11">
        <f t="shared" si="4"/>
        <v>0.47619047619047622</v>
      </c>
    </row>
    <row r="90" spans="1:7" x14ac:dyDescent="0.3">
      <c r="A90">
        <f t="shared" si="5"/>
        <v>89</v>
      </c>
      <c r="B90" s="1">
        <v>2</v>
      </c>
      <c r="C90" s="8">
        <v>2</v>
      </c>
      <c r="D90" s="1">
        <v>0</v>
      </c>
      <c r="E90" s="1">
        <v>3</v>
      </c>
      <c r="F90" s="5">
        <f t="shared" si="3"/>
        <v>7</v>
      </c>
      <c r="G90" s="9">
        <f t="shared" si="4"/>
        <v>0.28571428571428575</v>
      </c>
    </row>
    <row r="91" spans="1:7" x14ac:dyDescent="0.3">
      <c r="A91">
        <f t="shared" si="5"/>
        <v>90</v>
      </c>
      <c r="B91" s="1">
        <v>2</v>
      </c>
      <c r="C91" s="8">
        <v>3</v>
      </c>
      <c r="D91" s="1">
        <v>0</v>
      </c>
      <c r="E91" s="1">
        <v>3</v>
      </c>
      <c r="F91" s="5">
        <f t="shared" si="3"/>
        <v>8</v>
      </c>
      <c r="G91" s="9">
        <f t="shared" si="4"/>
        <v>0.375</v>
      </c>
    </row>
    <row r="92" spans="1:7" x14ac:dyDescent="0.3">
      <c r="A92">
        <f t="shared" si="5"/>
        <v>91</v>
      </c>
      <c r="B92" s="1">
        <v>1</v>
      </c>
      <c r="C92" s="8">
        <v>9</v>
      </c>
      <c r="D92" s="1">
        <v>4</v>
      </c>
      <c r="E92" s="1">
        <v>10</v>
      </c>
      <c r="F92" s="5">
        <f t="shared" si="3"/>
        <v>24</v>
      </c>
      <c r="G92" s="9">
        <f t="shared" si="4"/>
        <v>0.375</v>
      </c>
    </row>
    <row r="93" spans="1:7" x14ac:dyDescent="0.3">
      <c r="A93">
        <f t="shared" si="5"/>
        <v>92</v>
      </c>
      <c r="B93" s="1">
        <v>2</v>
      </c>
      <c r="C93" s="8">
        <v>1</v>
      </c>
      <c r="D93" s="1">
        <v>1</v>
      </c>
      <c r="E93" s="1">
        <v>3</v>
      </c>
      <c r="F93" s="5">
        <f t="shared" si="3"/>
        <v>7</v>
      </c>
      <c r="G93" s="9">
        <f t="shared" si="4"/>
        <v>0.14285714285714288</v>
      </c>
    </row>
    <row r="94" spans="1:7" x14ac:dyDescent="0.3">
      <c r="A94">
        <f t="shared" si="5"/>
        <v>93</v>
      </c>
      <c r="B94" s="1">
        <v>7</v>
      </c>
      <c r="C94" s="8">
        <v>7</v>
      </c>
      <c r="D94" s="1">
        <v>1</v>
      </c>
      <c r="E94" s="1">
        <v>5</v>
      </c>
      <c r="F94" s="5">
        <f t="shared" si="3"/>
        <v>20</v>
      </c>
      <c r="G94" s="9">
        <f t="shared" si="4"/>
        <v>0.35</v>
      </c>
    </row>
    <row r="95" spans="1:7" x14ac:dyDescent="0.3">
      <c r="A95">
        <f t="shared" si="5"/>
        <v>94</v>
      </c>
      <c r="B95" s="1">
        <v>1</v>
      </c>
      <c r="C95" s="8">
        <v>3</v>
      </c>
      <c r="D95" s="1">
        <v>2</v>
      </c>
      <c r="E95" s="1">
        <v>6</v>
      </c>
      <c r="F95" s="5">
        <f t="shared" si="3"/>
        <v>12</v>
      </c>
      <c r="G95" s="9">
        <f t="shared" si="4"/>
        <v>0.25</v>
      </c>
    </row>
    <row r="96" spans="1:7" x14ac:dyDescent="0.3">
      <c r="A96">
        <f t="shared" si="5"/>
        <v>95</v>
      </c>
      <c r="B96" s="1">
        <v>1</v>
      </c>
      <c r="C96" s="8">
        <v>3</v>
      </c>
      <c r="D96" s="1">
        <v>3</v>
      </c>
      <c r="E96" s="1">
        <v>8</v>
      </c>
      <c r="F96" s="5">
        <f t="shared" si="3"/>
        <v>15</v>
      </c>
      <c r="G96" s="9">
        <f t="shared" si="4"/>
        <v>0.2</v>
      </c>
    </row>
    <row r="97" spans="1:7" x14ac:dyDescent="0.3">
      <c r="A97">
        <f t="shared" si="5"/>
        <v>96</v>
      </c>
      <c r="B97" s="1">
        <v>2</v>
      </c>
      <c r="C97" s="8">
        <v>3</v>
      </c>
      <c r="D97" s="1">
        <v>0</v>
      </c>
      <c r="E97" s="1">
        <v>3</v>
      </c>
      <c r="F97" s="5">
        <f t="shared" si="3"/>
        <v>8</v>
      </c>
      <c r="G97" s="9">
        <f t="shared" si="4"/>
        <v>0.375</v>
      </c>
    </row>
    <row r="98" spans="1:7" x14ac:dyDescent="0.3">
      <c r="A98">
        <f t="shared" si="5"/>
        <v>97</v>
      </c>
      <c r="B98" s="1">
        <v>0</v>
      </c>
      <c r="C98" s="8">
        <v>5</v>
      </c>
      <c r="D98" s="1">
        <v>7</v>
      </c>
      <c r="E98" s="1">
        <v>9</v>
      </c>
      <c r="F98" s="5">
        <f t="shared" si="3"/>
        <v>21</v>
      </c>
      <c r="G98" s="9">
        <f t="shared" si="4"/>
        <v>0.23809523809523811</v>
      </c>
    </row>
    <row r="99" spans="1:7" x14ac:dyDescent="0.3">
      <c r="A99">
        <f t="shared" si="5"/>
        <v>98</v>
      </c>
      <c r="B99" s="1">
        <v>1</v>
      </c>
      <c r="C99" s="8">
        <v>6</v>
      </c>
      <c r="D99" s="1">
        <v>7</v>
      </c>
      <c r="E99" s="1">
        <v>13</v>
      </c>
      <c r="F99" s="5">
        <f t="shared" si="3"/>
        <v>27</v>
      </c>
      <c r="G99" s="9">
        <f t="shared" si="4"/>
        <v>0.22222222222222221</v>
      </c>
    </row>
    <row r="100" spans="1:7" x14ac:dyDescent="0.3">
      <c r="A100">
        <f t="shared" si="5"/>
        <v>99</v>
      </c>
      <c r="B100" s="1">
        <v>1</v>
      </c>
      <c r="C100" s="8">
        <v>6</v>
      </c>
      <c r="D100" s="1">
        <v>6</v>
      </c>
      <c r="E100" s="1">
        <v>11</v>
      </c>
      <c r="F100" s="5">
        <f t="shared" si="3"/>
        <v>24</v>
      </c>
      <c r="G100" s="9">
        <f t="shared" si="4"/>
        <v>0.25</v>
      </c>
    </row>
    <row r="101" spans="1:7" x14ac:dyDescent="0.3">
      <c r="A101">
        <f t="shared" si="5"/>
        <v>100</v>
      </c>
      <c r="B101" s="1">
        <v>2</v>
      </c>
      <c r="C101" s="8">
        <v>1</v>
      </c>
      <c r="D101" s="1">
        <v>0</v>
      </c>
      <c r="E101" s="1">
        <v>3</v>
      </c>
      <c r="F101" s="5">
        <f t="shared" si="3"/>
        <v>6</v>
      </c>
      <c r="G101" s="9">
        <f t="shared" si="4"/>
        <v>0.16666666666666669</v>
      </c>
    </row>
    <row r="102" spans="1:7" x14ac:dyDescent="0.3">
      <c r="B102" s="7">
        <f t="shared" ref="B102:E102" si="6">SUM(B2:B101)</f>
        <v>235</v>
      </c>
      <c r="C102" s="7">
        <f t="shared" si="6"/>
        <v>422</v>
      </c>
      <c r="D102" s="7">
        <f t="shared" si="6"/>
        <v>255</v>
      </c>
      <c r="E102" s="7">
        <f t="shared" si="6"/>
        <v>558</v>
      </c>
      <c r="F102" s="6">
        <f>B102+C102+D102+E102</f>
        <v>1470</v>
      </c>
      <c r="G102" s="9">
        <f t="shared" si="4"/>
        <v>0.28707482993197281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20C90-0288-41FA-AE2A-9A6CAE5EB5D9}">
  <dimension ref="A1:L101"/>
  <sheetViews>
    <sheetView workbookViewId="0">
      <selection activeCell="F19" sqref="F19"/>
    </sheetView>
  </sheetViews>
  <sheetFormatPr defaultRowHeight="14.4" x14ac:dyDescent="0.3"/>
  <cols>
    <col min="1" max="1" width="11.33203125" bestFit="1" customWidth="1"/>
    <col min="2" max="2" width="10.109375" bestFit="1" customWidth="1"/>
    <col min="3" max="3" width="11.88671875" bestFit="1" customWidth="1"/>
    <col min="5" max="6" width="15.5546875" bestFit="1" customWidth="1"/>
    <col min="7" max="7" width="7.6640625" bestFit="1" customWidth="1"/>
    <col min="8" max="8" width="6" bestFit="1" customWidth="1"/>
    <col min="9" max="9" width="8.5546875" bestFit="1" customWidth="1"/>
    <col min="10" max="10" width="6.88671875" bestFit="1" customWidth="1"/>
    <col min="11" max="11" width="5.5546875" bestFit="1" customWidth="1"/>
    <col min="12" max="12" width="10.77734375" bestFit="1" customWidth="1"/>
  </cols>
  <sheetData>
    <row r="1" spans="1:12" x14ac:dyDescent="0.3">
      <c r="A1" t="s">
        <v>41</v>
      </c>
      <c r="B1" t="s">
        <v>31</v>
      </c>
      <c r="C1" t="s">
        <v>43</v>
      </c>
    </row>
    <row r="2" spans="1:12" x14ac:dyDescent="0.3">
      <c r="A2">
        <v>1</v>
      </c>
      <c r="B2" s="17" t="s">
        <v>29</v>
      </c>
      <c r="C2" s="17" t="s">
        <v>30</v>
      </c>
    </row>
    <row r="3" spans="1:12" x14ac:dyDescent="0.3">
      <c r="A3">
        <f>A2+1</f>
        <v>2</v>
      </c>
      <c r="B3" s="17" t="s">
        <v>31</v>
      </c>
      <c r="C3" s="17" t="s">
        <v>30</v>
      </c>
    </row>
    <row r="4" spans="1:12" x14ac:dyDescent="0.3">
      <c r="A4">
        <f t="shared" ref="A4:A67" si="0">A3+1</f>
        <v>3</v>
      </c>
      <c r="B4" s="17" t="s">
        <v>31</v>
      </c>
      <c r="C4" s="17" t="s">
        <v>32</v>
      </c>
    </row>
    <row r="5" spans="1:12" x14ac:dyDescent="0.3">
      <c r="A5">
        <f t="shared" si="0"/>
        <v>4</v>
      </c>
      <c r="B5" s="17" t="s">
        <v>31</v>
      </c>
      <c r="C5" s="17" t="s">
        <v>30</v>
      </c>
    </row>
    <row r="6" spans="1:12" x14ac:dyDescent="0.3">
      <c r="A6">
        <f t="shared" si="0"/>
        <v>5</v>
      </c>
      <c r="B6" s="17" t="s">
        <v>31</v>
      </c>
      <c r="C6" s="17" t="s">
        <v>33</v>
      </c>
    </row>
    <row r="7" spans="1:12" x14ac:dyDescent="0.3">
      <c r="A7">
        <f t="shared" si="0"/>
        <v>6</v>
      </c>
      <c r="B7" s="17" t="s">
        <v>34</v>
      </c>
      <c r="C7" s="17" t="s">
        <v>35</v>
      </c>
    </row>
    <row r="8" spans="1:12" x14ac:dyDescent="0.3">
      <c r="A8">
        <f t="shared" si="0"/>
        <v>7</v>
      </c>
      <c r="B8" s="17" t="s">
        <v>36</v>
      </c>
      <c r="C8" s="17" t="s">
        <v>35</v>
      </c>
      <c r="E8" s="14" t="s">
        <v>45</v>
      </c>
      <c r="F8" s="14" t="s">
        <v>46</v>
      </c>
    </row>
    <row r="9" spans="1:12" x14ac:dyDescent="0.3">
      <c r="A9">
        <f t="shared" si="0"/>
        <v>8</v>
      </c>
      <c r="B9" s="17" t="s">
        <v>29</v>
      </c>
      <c r="C9" s="17" t="s">
        <v>35</v>
      </c>
      <c r="E9" s="14" t="s">
        <v>31</v>
      </c>
      <c r="F9" t="s">
        <v>32</v>
      </c>
      <c r="G9" t="s">
        <v>30</v>
      </c>
      <c r="H9" t="s">
        <v>33</v>
      </c>
      <c r="I9" t="s">
        <v>35</v>
      </c>
      <c r="J9" t="s">
        <v>37</v>
      </c>
      <c r="K9" t="s">
        <v>38</v>
      </c>
      <c r="L9" t="s">
        <v>44</v>
      </c>
    </row>
    <row r="10" spans="1:12" x14ac:dyDescent="0.3">
      <c r="A10">
        <f t="shared" si="0"/>
        <v>9</v>
      </c>
      <c r="B10" s="17" t="s">
        <v>36</v>
      </c>
      <c r="C10" s="17" t="s">
        <v>33</v>
      </c>
      <c r="E10" s="15" t="s">
        <v>29</v>
      </c>
      <c r="F10" s="16">
        <v>1</v>
      </c>
      <c r="G10" s="16">
        <v>1</v>
      </c>
      <c r="H10" s="16">
        <v>3</v>
      </c>
      <c r="I10" s="16">
        <v>4</v>
      </c>
      <c r="J10" s="16"/>
      <c r="K10" s="16"/>
      <c r="L10" s="16">
        <v>9</v>
      </c>
    </row>
    <row r="11" spans="1:12" x14ac:dyDescent="0.3">
      <c r="A11">
        <f t="shared" si="0"/>
        <v>10</v>
      </c>
      <c r="B11" s="17" t="s">
        <v>36</v>
      </c>
      <c r="C11" s="17" t="s">
        <v>30</v>
      </c>
      <c r="E11" s="15" t="s">
        <v>31</v>
      </c>
      <c r="F11" s="16">
        <v>3</v>
      </c>
      <c r="G11" s="16">
        <v>25</v>
      </c>
      <c r="H11" s="16">
        <v>7</v>
      </c>
      <c r="I11" s="16">
        <v>14</v>
      </c>
      <c r="J11" s="16">
        <v>2</v>
      </c>
      <c r="K11" s="16"/>
      <c r="L11" s="16">
        <v>51</v>
      </c>
    </row>
    <row r="12" spans="1:12" x14ac:dyDescent="0.3">
      <c r="A12">
        <f t="shared" si="0"/>
        <v>11</v>
      </c>
      <c r="B12" s="17" t="s">
        <v>34</v>
      </c>
      <c r="C12" s="17" t="s">
        <v>30</v>
      </c>
      <c r="E12" s="15" t="s">
        <v>34</v>
      </c>
      <c r="F12" s="16">
        <v>2</v>
      </c>
      <c r="G12" s="16">
        <v>4</v>
      </c>
      <c r="H12" s="16">
        <v>4</v>
      </c>
      <c r="I12" s="16">
        <v>3</v>
      </c>
      <c r="J12" s="16">
        <v>1</v>
      </c>
      <c r="K12" s="16"/>
      <c r="L12" s="16">
        <v>14</v>
      </c>
    </row>
    <row r="13" spans="1:12" x14ac:dyDescent="0.3">
      <c r="A13">
        <f t="shared" si="0"/>
        <v>12</v>
      </c>
      <c r="B13" s="17" t="s">
        <v>36</v>
      </c>
      <c r="C13" s="17" t="s">
        <v>33</v>
      </c>
      <c r="E13" s="15" t="s">
        <v>36</v>
      </c>
      <c r="F13" s="16">
        <v>2</v>
      </c>
      <c r="G13" s="16">
        <v>12</v>
      </c>
      <c r="H13" s="16">
        <v>4</v>
      </c>
      <c r="I13" s="16">
        <v>5</v>
      </c>
      <c r="J13" s="16"/>
      <c r="K13" s="16">
        <v>2</v>
      </c>
      <c r="L13" s="16">
        <v>25</v>
      </c>
    </row>
    <row r="14" spans="1:12" x14ac:dyDescent="0.3">
      <c r="A14">
        <f t="shared" si="0"/>
        <v>13</v>
      </c>
      <c r="B14" s="17" t="s">
        <v>36</v>
      </c>
      <c r="C14" s="17" t="s">
        <v>30</v>
      </c>
      <c r="E14" s="15" t="s">
        <v>44</v>
      </c>
      <c r="F14" s="16">
        <v>8</v>
      </c>
      <c r="G14" s="16">
        <v>42</v>
      </c>
      <c r="H14" s="16">
        <v>18</v>
      </c>
      <c r="I14" s="16">
        <v>26</v>
      </c>
      <c r="J14" s="16">
        <v>3</v>
      </c>
      <c r="K14" s="16">
        <v>2</v>
      </c>
      <c r="L14" s="16">
        <v>99</v>
      </c>
    </row>
    <row r="15" spans="1:12" x14ac:dyDescent="0.3">
      <c r="A15">
        <f t="shared" si="0"/>
        <v>14</v>
      </c>
      <c r="B15" s="17" t="s">
        <v>31</v>
      </c>
      <c r="C15" s="17" t="s">
        <v>30</v>
      </c>
    </row>
    <row r="16" spans="1:12" x14ac:dyDescent="0.3">
      <c r="A16">
        <f t="shared" si="0"/>
        <v>15</v>
      </c>
      <c r="B16" s="17" t="s">
        <v>36</v>
      </c>
      <c r="C16" s="17" t="s">
        <v>30</v>
      </c>
    </row>
    <row r="17" spans="1:3" x14ac:dyDescent="0.3">
      <c r="A17">
        <f t="shared" si="0"/>
        <v>16</v>
      </c>
      <c r="B17" s="17" t="s">
        <v>31</v>
      </c>
      <c r="C17" s="17" t="s">
        <v>30</v>
      </c>
    </row>
    <row r="18" spans="1:3" x14ac:dyDescent="0.3">
      <c r="A18">
        <f t="shared" si="0"/>
        <v>17</v>
      </c>
      <c r="B18" s="17" t="s">
        <v>36</v>
      </c>
      <c r="C18" s="17" t="s">
        <v>30</v>
      </c>
    </row>
    <row r="19" spans="1:3" x14ac:dyDescent="0.3">
      <c r="A19">
        <f t="shared" si="0"/>
        <v>18</v>
      </c>
      <c r="B19" s="17" t="s">
        <v>34</v>
      </c>
      <c r="C19" s="17" t="s">
        <v>33</v>
      </c>
    </row>
    <row r="20" spans="1:3" x14ac:dyDescent="0.3">
      <c r="A20">
        <f t="shared" si="0"/>
        <v>19</v>
      </c>
      <c r="B20" s="17" t="s">
        <v>36</v>
      </c>
      <c r="C20" s="17" t="s">
        <v>30</v>
      </c>
    </row>
    <row r="21" spans="1:3" x14ac:dyDescent="0.3">
      <c r="A21">
        <f t="shared" si="0"/>
        <v>20</v>
      </c>
      <c r="B21" s="17" t="s">
        <v>31</v>
      </c>
      <c r="C21" s="17" t="s">
        <v>30</v>
      </c>
    </row>
    <row r="22" spans="1:3" x14ac:dyDescent="0.3">
      <c r="A22">
        <f t="shared" si="0"/>
        <v>21</v>
      </c>
      <c r="B22" s="17" t="s">
        <v>29</v>
      </c>
      <c r="C22" s="17" t="s">
        <v>33</v>
      </c>
    </row>
    <row r="23" spans="1:3" x14ac:dyDescent="0.3">
      <c r="A23">
        <f t="shared" si="0"/>
        <v>22</v>
      </c>
      <c r="B23" s="17" t="s">
        <v>34</v>
      </c>
      <c r="C23" s="17" t="s">
        <v>32</v>
      </c>
    </row>
    <row r="24" spans="1:3" x14ac:dyDescent="0.3">
      <c r="A24">
        <f t="shared" si="0"/>
        <v>23</v>
      </c>
      <c r="B24" s="17" t="s">
        <v>36</v>
      </c>
      <c r="C24" s="17" t="s">
        <v>35</v>
      </c>
    </row>
    <row r="25" spans="1:3" x14ac:dyDescent="0.3">
      <c r="A25">
        <f t="shared" si="0"/>
        <v>24</v>
      </c>
      <c r="B25" s="17" t="s">
        <v>29</v>
      </c>
      <c r="C25" s="17" t="s">
        <v>32</v>
      </c>
    </row>
    <row r="26" spans="1:3" x14ac:dyDescent="0.3">
      <c r="A26">
        <f t="shared" si="0"/>
        <v>25</v>
      </c>
      <c r="B26" s="17" t="s">
        <v>36</v>
      </c>
      <c r="C26" s="17" t="s">
        <v>30</v>
      </c>
    </row>
    <row r="27" spans="1:3" x14ac:dyDescent="0.3">
      <c r="A27">
        <f t="shared" si="0"/>
        <v>26</v>
      </c>
      <c r="B27" s="17" t="s">
        <v>29</v>
      </c>
      <c r="C27" s="17" t="s">
        <v>35</v>
      </c>
    </row>
    <row r="28" spans="1:3" x14ac:dyDescent="0.3">
      <c r="A28">
        <f t="shared" si="0"/>
        <v>27</v>
      </c>
      <c r="B28" s="17" t="s">
        <v>31</v>
      </c>
      <c r="C28" s="17" t="s">
        <v>33</v>
      </c>
    </row>
    <row r="29" spans="1:3" x14ac:dyDescent="0.3">
      <c r="A29">
        <f t="shared" si="0"/>
        <v>28</v>
      </c>
      <c r="B29" s="17" t="s">
        <v>31</v>
      </c>
      <c r="C29" s="17" t="s">
        <v>30</v>
      </c>
    </row>
    <row r="30" spans="1:3" x14ac:dyDescent="0.3">
      <c r="A30">
        <f t="shared" si="0"/>
        <v>29</v>
      </c>
      <c r="B30" s="17" t="s">
        <v>31</v>
      </c>
      <c r="C30" s="17" t="s">
        <v>32</v>
      </c>
    </row>
    <row r="31" spans="1:3" x14ac:dyDescent="0.3">
      <c r="A31">
        <f t="shared" si="0"/>
        <v>30</v>
      </c>
      <c r="B31" s="17" t="s">
        <v>36</v>
      </c>
      <c r="C31" s="17" t="s">
        <v>32</v>
      </c>
    </row>
    <row r="32" spans="1:3" x14ac:dyDescent="0.3">
      <c r="A32">
        <f t="shared" si="0"/>
        <v>31</v>
      </c>
      <c r="B32" s="17" t="s">
        <v>29</v>
      </c>
      <c r="C32" s="17" t="s">
        <v>30</v>
      </c>
    </row>
    <row r="33" spans="1:3" x14ac:dyDescent="0.3">
      <c r="A33">
        <f t="shared" si="0"/>
        <v>32</v>
      </c>
      <c r="B33" s="17" t="s">
        <v>34</v>
      </c>
      <c r="C33" s="17" t="s">
        <v>35</v>
      </c>
    </row>
    <row r="34" spans="1:3" x14ac:dyDescent="0.3">
      <c r="A34">
        <f t="shared" si="0"/>
        <v>33</v>
      </c>
      <c r="B34" s="17" t="s">
        <v>31</v>
      </c>
      <c r="C34" s="17" t="s">
        <v>30</v>
      </c>
    </row>
    <row r="35" spans="1:3" x14ac:dyDescent="0.3">
      <c r="A35">
        <f t="shared" si="0"/>
        <v>34</v>
      </c>
      <c r="B35" s="17" t="s">
        <v>34</v>
      </c>
      <c r="C35" s="17" t="s">
        <v>33</v>
      </c>
    </row>
    <row r="36" spans="1:3" x14ac:dyDescent="0.3">
      <c r="A36">
        <f t="shared" si="0"/>
        <v>35</v>
      </c>
      <c r="B36" s="17" t="s">
        <v>36</v>
      </c>
      <c r="C36" s="17" t="s">
        <v>30</v>
      </c>
    </row>
    <row r="37" spans="1:3" x14ac:dyDescent="0.3">
      <c r="A37">
        <f t="shared" si="0"/>
        <v>36</v>
      </c>
      <c r="B37" s="17" t="s">
        <v>31</v>
      </c>
      <c r="C37" s="17" t="s">
        <v>37</v>
      </c>
    </row>
    <row r="38" spans="1:3" x14ac:dyDescent="0.3">
      <c r="A38">
        <f t="shared" si="0"/>
        <v>37</v>
      </c>
      <c r="B38" s="17" t="s">
        <v>31</v>
      </c>
      <c r="C38" s="17" t="s">
        <v>35</v>
      </c>
    </row>
    <row r="39" spans="1:3" x14ac:dyDescent="0.3">
      <c r="A39">
        <f t="shared" si="0"/>
        <v>38</v>
      </c>
      <c r="B39" s="17" t="s">
        <v>31</v>
      </c>
      <c r="C39" s="17" t="s">
        <v>35</v>
      </c>
    </row>
    <row r="40" spans="1:3" x14ac:dyDescent="0.3">
      <c r="A40">
        <f t="shared" si="0"/>
        <v>39</v>
      </c>
      <c r="B40" s="17" t="s">
        <v>36</v>
      </c>
      <c r="C40" s="17" t="s">
        <v>30</v>
      </c>
    </row>
    <row r="41" spans="1:3" x14ac:dyDescent="0.3">
      <c r="A41">
        <f t="shared" si="0"/>
        <v>40</v>
      </c>
      <c r="B41" s="17" t="s">
        <v>31</v>
      </c>
      <c r="C41" s="17" t="s">
        <v>35</v>
      </c>
    </row>
    <row r="42" spans="1:3" x14ac:dyDescent="0.3">
      <c r="A42">
        <f t="shared" si="0"/>
        <v>41</v>
      </c>
      <c r="B42" s="17" t="s">
        <v>36</v>
      </c>
      <c r="C42" s="17" t="s">
        <v>35</v>
      </c>
    </row>
    <row r="43" spans="1:3" x14ac:dyDescent="0.3">
      <c r="A43">
        <f t="shared" si="0"/>
        <v>42</v>
      </c>
      <c r="B43" s="17" t="s">
        <v>31</v>
      </c>
      <c r="C43" s="17" t="s">
        <v>35</v>
      </c>
    </row>
    <row r="44" spans="1:3" x14ac:dyDescent="0.3">
      <c r="A44">
        <f t="shared" si="0"/>
        <v>43</v>
      </c>
      <c r="B44" s="17" t="s">
        <v>34</v>
      </c>
      <c r="C44" s="17" t="s">
        <v>30</v>
      </c>
    </row>
    <row r="45" spans="1:3" x14ac:dyDescent="0.3">
      <c r="A45">
        <f t="shared" si="0"/>
        <v>44</v>
      </c>
      <c r="B45" s="17" t="s">
        <v>31</v>
      </c>
      <c r="C45" s="17" t="s">
        <v>33</v>
      </c>
    </row>
    <row r="46" spans="1:3" x14ac:dyDescent="0.3">
      <c r="A46">
        <f t="shared" si="0"/>
        <v>45</v>
      </c>
      <c r="B46" s="17" t="s">
        <v>36</v>
      </c>
      <c r="C46" s="17" t="s">
        <v>30</v>
      </c>
    </row>
    <row r="47" spans="1:3" x14ac:dyDescent="0.3">
      <c r="A47">
        <f t="shared" si="0"/>
        <v>46</v>
      </c>
      <c r="B47" s="17" t="s">
        <v>36</v>
      </c>
      <c r="C47" s="17" t="s">
        <v>30</v>
      </c>
    </row>
    <row r="48" spans="1:3" x14ac:dyDescent="0.3">
      <c r="A48">
        <f t="shared" si="0"/>
        <v>47</v>
      </c>
      <c r="B48" s="17" t="s">
        <v>31</v>
      </c>
      <c r="C48" s="17" t="s">
        <v>37</v>
      </c>
    </row>
    <row r="49" spans="1:3" x14ac:dyDescent="0.3">
      <c r="A49">
        <f t="shared" si="0"/>
        <v>48</v>
      </c>
      <c r="B49" s="17" t="s">
        <v>29</v>
      </c>
      <c r="C49" s="17" t="s">
        <v>35</v>
      </c>
    </row>
    <row r="50" spans="1:3" x14ac:dyDescent="0.3">
      <c r="A50">
        <f t="shared" si="0"/>
        <v>49</v>
      </c>
      <c r="B50" s="17" t="s">
        <v>31</v>
      </c>
      <c r="C50" s="17" t="s">
        <v>30</v>
      </c>
    </row>
    <row r="51" spans="1:3" x14ac:dyDescent="0.3">
      <c r="A51">
        <f t="shared" si="0"/>
        <v>50</v>
      </c>
      <c r="B51" s="17" t="s">
        <v>31</v>
      </c>
      <c r="C51" s="17" t="s">
        <v>30</v>
      </c>
    </row>
    <row r="52" spans="1:3" x14ac:dyDescent="0.3">
      <c r="A52">
        <f t="shared" si="0"/>
        <v>51</v>
      </c>
      <c r="B52" s="17" t="s">
        <v>31</v>
      </c>
      <c r="C52" s="17" t="s">
        <v>30</v>
      </c>
    </row>
    <row r="53" spans="1:3" x14ac:dyDescent="0.3">
      <c r="A53">
        <f t="shared" si="0"/>
        <v>52</v>
      </c>
      <c r="B53" s="17" t="s">
        <v>36</v>
      </c>
      <c r="C53" s="17" t="s">
        <v>35</v>
      </c>
    </row>
    <row r="54" spans="1:3" x14ac:dyDescent="0.3">
      <c r="A54">
        <f t="shared" si="0"/>
        <v>53</v>
      </c>
      <c r="B54" s="17" t="s">
        <v>31</v>
      </c>
      <c r="C54" s="17" t="s">
        <v>33</v>
      </c>
    </row>
    <row r="55" spans="1:3" x14ac:dyDescent="0.3">
      <c r="A55">
        <f t="shared" si="0"/>
        <v>54</v>
      </c>
      <c r="B55" s="17" t="s">
        <v>29</v>
      </c>
      <c r="C55" s="17" t="s">
        <v>33</v>
      </c>
    </row>
    <row r="56" spans="1:3" x14ac:dyDescent="0.3">
      <c r="A56">
        <f t="shared" si="0"/>
        <v>55</v>
      </c>
      <c r="B56" s="17" t="s">
        <v>31</v>
      </c>
      <c r="C56" s="17" t="s">
        <v>30</v>
      </c>
    </row>
    <row r="57" spans="1:3" x14ac:dyDescent="0.3">
      <c r="A57">
        <f t="shared" si="0"/>
        <v>56</v>
      </c>
      <c r="B57" s="17" t="s">
        <v>31</v>
      </c>
      <c r="C57" s="17" t="s">
        <v>30</v>
      </c>
    </row>
    <row r="58" spans="1:3" x14ac:dyDescent="0.3">
      <c r="A58">
        <f t="shared" si="0"/>
        <v>57</v>
      </c>
      <c r="B58" s="17" t="s">
        <v>31</v>
      </c>
      <c r="C58" s="17" t="s">
        <v>33</v>
      </c>
    </row>
    <row r="59" spans="1:3" x14ac:dyDescent="0.3">
      <c r="A59">
        <f t="shared" si="0"/>
        <v>58</v>
      </c>
      <c r="B59" s="17" t="s">
        <v>34</v>
      </c>
      <c r="C59" s="17" t="s">
        <v>35</v>
      </c>
    </row>
    <row r="60" spans="1:3" x14ac:dyDescent="0.3">
      <c r="A60">
        <f t="shared" si="0"/>
        <v>59</v>
      </c>
      <c r="B60" s="17" t="s">
        <v>31</v>
      </c>
      <c r="C60" s="17" t="s">
        <v>30</v>
      </c>
    </row>
    <row r="61" spans="1:3" x14ac:dyDescent="0.3">
      <c r="A61">
        <f t="shared" si="0"/>
        <v>60</v>
      </c>
      <c r="B61" s="17" t="s">
        <v>31</v>
      </c>
      <c r="C61" s="17" t="s">
        <v>35</v>
      </c>
    </row>
    <row r="62" spans="1:3" x14ac:dyDescent="0.3">
      <c r="A62">
        <f t="shared" si="0"/>
        <v>61</v>
      </c>
      <c r="B62" s="17" t="s">
        <v>36</v>
      </c>
      <c r="C62" s="17" t="s">
        <v>38</v>
      </c>
    </row>
    <row r="63" spans="1:3" x14ac:dyDescent="0.3">
      <c r="A63">
        <f t="shared" si="0"/>
        <v>62</v>
      </c>
      <c r="B63" s="17" t="s">
        <v>36</v>
      </c>
      <c r="C63" s="17" t="s">
        <v>38</v>
      </c>
    </row>
    <row r="64" spans="1:3" x14ac:dyDescent="0.3">
      <c r="A64">
        <f t="shared" si="0"/>
        <v>63</v>
      </c>
      <c r="B64" s="17" t="s">
        <v>36</v>
      </c>
      <c r="C64" s="17" t="s">
        <v>33</v>
      </c>
    </row>
    <row r="65" spans="1:3" x14ac:dyDescent="0.3">
      <c r="A65">
        <f t="shared" si="0"/>
        <v>64</v>
      </c>
      <c r="B65" s="17" t="s">
        <v>34</v>
      </c>
      <c r="C65" s="17" t="s">
        <v>32</v>
      </c>
    </row>
    <row r="66" spans="1:3" x14ac:dyDescent="0.3">
      <c r="A66">
        <f t="shared" si="0"/>
        <v>65</v>
      </c>
      <c r="B66" s="17" t="s">
        <v>31</v>
      </c>
      <c r="C66" s="17" t="s">
        <v>35</v>
      </c>
    </row>
    <row r="67" spans="1:3" x14ac:dyDescent="0.3">
      <c r="A67">
        <f t="shared" si="0"/>
        <v>66</v>
      </c>
      <c r="B67" s="17" t="s">
        <v>34</v>
      </c>
      <c r="C67" s="17" t="s">
        <v>37</v>
      </c>
    </row>
    <row r="68" spans="1:3" x14ac:dyDescent="0.3">
      <c r="A68">
        <f t="shared" ref="A68:A101" si="1">A67+1</f>
        <v>67</v>
      </c>
      <c r="B68" s="17" t="s">
        <v>31</v>
      </c>
      <c r="C68" s="17" t="s">
        <v>33</v>
      </c>
    </row>
    <row r="69" spans="1:3" x14ac:dyDescent="0.3">
      <c r="A69">
        <f t="shared" si="1"/>
        <v>68</v>
      </c>
      <c r="B69" s="17" t="s">
        <v>34</v>
      </c>
      <c r="C69" s="17" t="s">
        <v>33</v>
      </c>
    </row>
    <row r="70" spans="1:3" x14ac:dyDescent="0.3">
      <c r="A70">
        <f t="shared" si="1"/>
        <v>69</v>
      </c>
      <c r="B70" s="17" t="s">
        <v>31</v>
      </c>
      <c r="C70" s="17" t="s">
        <v>30</v>
      </c>
    </row>
    <row r="71" spans="1:3" x14ac:dyDescent="0.3">
      <c r="A71">
        <f t="shared" si="1"/>
        <v>70</v>
      </c>
      <c r="B71" s="17" t="s">
        <v>31</v>
      </c>
      <c r="C71" s="17" t="s">
        <v>35</v>
      </c>
    </row>
    <row r="72" spans="1:3" x14ac:dyDescent="0.3">
      <c r="A72">
        <f t="shared" si="1"/>
        <v>71</v>
      </c>
      <c r="B72" s="17" t="s">
        <v>31</v>
      </c>
      <c r="C72" s="17" t="s">
        <v>30</v>
      </c>
    </row>
    <row r="73" spans="1:3" x14ac:dyDescent="0.3">
      <c r="A73">
        <f t="shared" si="1"/>
        <v>72</v>
      </c>
      <c r="B73" s="17" t="s">
        <v>34</v>
      </c>
      <c r="C73" s="17" t="s">
        <v>30</v>
      </c>
    </row>
    <row r="74" spans="1:3" x14ac:dyDescent="0.3">
      <c r="A74">
        <f t="shared" si="1"/>
        <v>73</v>
      </c>
      <c r="B74" s="17" t="s">
        <v>36</v>
      </c>
      <c r="C74" s="17" t="s">
        <v>35</v>
      </c>
    </row>
    <row r="75" spans="1:3" x14ac:dyDescent="0.3">
      <c r="A75">
        <f t="shared" si="1"/>
        <v>74</v>
      </c>
      <c r="B75" s="17" t="s">
        <v>31</v>
      </c>
      <c r="C75" s="17" t="s">
        <v>30</v>
      </c>
    </row>
    <row r="76" spans="1:3" x14ac:dyDescent="0.3">
      <c r="A76">
        <f t="shared" si="1"/>
        <v>75</v>
      </c>
      <c r="B76" s="17" t="s">
        <v>31</v>
      </c>
      <c r="C76" s="17" t="s">
        <v>35</v>
      </c>
    </row>
    <row r="77" spans="1:3" x14ac:dyDescent="0.3">
      <c r="A77">
        <f t="shared" si="1"/>
        <v>76</v>
      </c>
      <c r="B77" s="17" t="s">
        <v>36</v>
      </c>
      <c r="C77" s="17" t="s">
        <v>32</v>
      </c>
    </row>
    <row r="78" spans="1:3" x14ac:dyDescent="0.3">
      <c r="A78">
        <f t="shared" si="1"/>
        <v>77</v>
      </c>
      <c r="B78" s="17" t="s">
        <v>31</v>
      </c>
      <c r="C78" s="17" t="s">
        <v>35</v>
      </c>
    </row>
    <row r="79" spans="1:3" x14ac:dyDescent="0.3">
      <c r="A79">
        <f t="shared" si="1"/>
        <v>78</v>
      </c>
      <c r="B79" s="17" t="s">
        <v>31</v>
      </c>
      <c r="C79" s="17" t="s">
        <v>30</v>
      </c>
    </row>
    <row r="80" spans="1:3" x14ac:dyDescent="0.3">
      <c r="A80">
        <f t="shared" si="1"/>
        <v>79</v>
      </c>
      <c r="B80" s="17" t="s">
        <v>31</v>
      </c>
      <c r="C80" s="17" t="s">
        <v>30</v>
      </c>
    </row>
    <row r="81" spans="1:3" x14ac:dyDescent="0.3">
      <c r="A81">
        <f t="shared" si="1"/>
        <v>80</v>
      </c>
      <c r="B81" s="17" t="s">
        <v>31</v>
      </c>
      <c r="C81" s="17" t="s">
        <v>30</v>
      </c>
    </row>
    <row r="82" spans="1:3" x14ac:dyDescent="0.3">
      <c r="A82">
        <f t="shared" si="1"/>
        <v>81</v>
      </c>
      <c r="B82" s="17" t="s">
        <v>36</v>
      </c>
      <c r="C82" s="17" t="s">
        <v>30</v>
      </c>
    </row>
    <row r="83" spans="1:3" x14ac:dyDescent="0.3">
      <c r="A83">
        <f t="shared" si="1"/>
        <v>82</v>
      </c>
      <c r="B83" s="17" t="s">
        <v>29</v>
      </c>
      <c r="C83" s="17" t="s">
        <v>35</v>
      </c>
    </row>
    <row r="84" spans="1:3" x14ac:dyDescent="0.3">
      <c r="A84">
        <f t="shared" si="1"/>
        <v>83</v>
      </c>
      <c r="B84" s="17" t="s">
        <v>31</v>
      </c>
      <c r="C84" s="17" t="s">
        <v>32</v>
      </c>
    </row>
    <row r="85" spans="1:3" x14ac:dyDescent="0.3">
      <c r="A85">
        <f t="shared" si="1"/>
        <v>84</v>
      </c>
      <c r="B85" s="17" t="s">
        <v>36</v>
      </c>
      <c r="C85" s="17" t="s">
        <v>30</v>
      </c>
    </row>
    <row r="86" spans="1:3" x14ac:dyDescent="0.3">
      <c r="A86">
        <f t="shared" si="1"/>
        <v>85</v>
      </c>
      <c r="B86" s="17" t="s">
        <v>31</v>
      </c>
      <c r="C86" s="17" t="s">
        <v>35</v>
      </c>
    </row>
    <row r="87" spans="1:3" x14ac:dyDescent="0.3">
      <c r="A87">
        <f t="shared" si="1"/>
        <v>86</v>
      </c>
      <c r="B87" s="17" t="s">
        <v>31</v>
      </c>
      <c r="C87" s="17" t="s">
        <v>30</v>
      </c>
    </row>
    <row r="88" spans="1:3" x14ac:dyDescent="0.3">
      <c r="A88">
        <f t="shared" si="1"/>
        <v>87</v>
      </c>
      <c r="B88" s="17" t="s">
        <v>34</v>
      </c>
      <c r="C88" s="17" t="s">
        <v>30</v>
      </c>
    </row>
    <row r="89" spans="1:3" x14ac:dyDescent="0.3">
      <c r="A89">
        <f t="shared" si="1"/>
        <v>88</v>
      </c>
      <c r="B89" s="17" t="s">
        <v>31</v>
      </c>
      <c r="C89" s="17" t="s">
        <v>35</v>
      </c>
    </row>
    <row r="90" spans="1:3" x14ac:dyDescent="0.3">
      <c r="A90">
        <f t="shared" si="1"/>
        <v>89</v>
      </c>
      <c r="B90" s="17" t="s">
        <v>31</v>
      </c>
      <c r="C90" s="17" t="s">
        <v>33</v>
      </c>
    </row>
    <row r="91" spans="1:3" x14ac:dyDescent="0.3">
      <c r="A91">
        <f t="shared" si="1"/>
        <v>90</v>
      </c>
      <c r="B91" s="17" t="s">
        <v>36</v>
      </c>
      <c r="C91" s="17" t="s">
        <v>33</v>
      </c>
    </row>
    <row r="92" spans="1:3" x14ac:dyDescent="0.3">
      <c r="A92">
        <f t="shared" si="1"/>
        <v>91</v>
      </c>
      <c r="B92" s="17" t="s">
        <v>31</v>
      </c>
      <c r="C92" s="17" t="s">
        <v>30</v>
      </c>
    </row>
    <row r="93" spans="1:3" x14ac:dyDescent="0.3">
      <c r="A93">
        <f t="shared" si="1"/>
        <v>92</v>
      </c>
      <c r="B93" s="17" t="s">
        <v>31</v>
      </c>
      <c r="C93" s="17" t="s">
        <v>35</v>
      </c>
    </row>
    <row r="94" spans="1:3" x14ac:dyDescent="0.3">
      <c r="A94">
        <f t="shared" si="1"/>
        <v>93</v>
      </c>
      <c r="B94" s="17" t="s">
        <v>31</v>
      </c>
      <c r="C94" s="17" t="s">
        <v>35</v>
      </c>
    </row>
    <row r="95" spans="1:3" x14ac:dyDescent="0.3">
      <c r="A95">
        <f t="shared" si="1"/>
        <v>94</v>
      </c>
      <c r="B95" s="17" t="s">
        <v>31</v>
      </c>
      <c r="C95" s="17" t="s">
        <v>30</v>
      </c>
    </row>
    <row r="96" spans="1:3" x14ac:dyDescent="0.3">
      <c r="A96">
        <f t="shared" si="1"/>
        <v>95</v>
      </c>
      <c r="B96" s="17" t="s">
        <v>29</v>
      </c>
      <c r="C96" s="17" t="s">
        <v>33</v>
      </c>
    </row>
    <row r="97" spans="1:3" x14ac:dyDescent="0.3">
      <c r="A97">
        <f t="shared" si="1"/>
        <v>96</v>
      </c>
      <c r="B97" s="17" t="s">
        <v>34</v>
      </c>
      <c r="C97" s="17" t="s">
        <v>33</v>
      </c>
    </row>
    <row r="98" spans="1:3" x14ac:dyDescent="0.3">
      <c r="A98">
        <f t="shared" si="1"/>
        <v>97</v>
      </c>
      <c r="B98" s="17" t="s">
        <v>31</v>
      </c>
      <c r="C98" s="17" t="s">
        <v>30</v>
      </c>
    </row>
    <row r="99" spans="1:3" x14ac:dyDescent="0.3">
      <c r="A99">
        <f t="shared" si="1"/>
        <v>98</v>
      </c>
      <c r="B99" s="17" t="s">
        <v>31</v>
      </c>
      <c r="C99" s="17" t="s">
        <v>30</v>
      </c>
    </row>
    <row r="100" spans="1:3" x14ac:dyDescent="0.3">
      <c r="A100">
        <f t="shared" si="1"/>
        <v>99</v>
      </c>
      <c r="B100" s="17" t="s">
        <v>31</v>
      </c>
      <c r="C100" s="17" t="s">
        <v>35</v>
      </c>
    </row>
    <row r="101" spans="1:3" x14ac:dyDescent="0.3">
      <c r="A101">
        <f t="shared" si="1"/>
        <v>100</v>
      </c>
      <c r="B101" s="17" t="s">
        <v>31</v>
      </c>
      <c r="C101" s="17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0F11-A136-48ED-915F-1BF6C43E4DB7}">
  <dimension ref="A1:C101"/>
  <sheetViews>
    <sheetView workbookViewId="0">
      <selection activeCell="D99" sqref="D99"/>
    </sheetView>
  </sheetViews>
  <sheetFormatPr defaultRowHeight="14.4" x14ac:dyDescent="0.3"/>
  <sheetData>
    <row r="1" spans="1:3" x14ac:dyDescent="0.3">
      <c r="A1" t="s">
        <v>73</v>
      </c>
      <c r="C1" t="b">
        <f>AND(A2&gt;50)</f>
        <v>1</v>
      </c>
    </row>
    <row r="2" spans="1:3" x14ac:dyDescent="0.3">
      <c r="A2">
        <v>61</v>
      </c>
      <c r="B2">
        <f>_xlfn.Z.TEST(A2:A101,41.98,59.75759)</f>
        <v>8.7366812308922209E-2</v>
      </c>
      <c r="C2" t="b">
        <f t="shared" ref="C2:C65" si="0">AND(A3&gt;50)</f>
        <v>1</v>
      </c>
    </row>
    <row r="3" spans="1:3" x14ac:dyDescent="0.3">
      <c r="A3">
        <v>54</v>
      </c>
      <c r="C3" t="b">
        <f t="shared" si="0"/>
        <v>1</v>
      </c>
    </row>
    <row r="4" spans="1:3" x14ac:dyDescent="0.3">
      <c r="A4">
        <v>242</v>
      </c>
      <c r="C4" t="b">
        <f t="shared" si="0"/>
        <v>0</v>
      </c>
    </row>
    <row r="5" spans="1:3" x14ac:dyDescent="0.3">
      <c r="A5">
        <v>18</v>
      </c>
      <c r="C5" t="b">
        <f t="shared" si="0"/>
        <v>0</v>
      </c>
    </row>
    <row r="6" spans="1:3" x14ac:dyDescent="0.3">
      <c r="A6">
        <v>4</v>
      </c>
      <c r="C6" t="b">
        <f t="shared" si="0"/>
        <v>0</v>
      </c>
    </row>
    <row r="7" spans="1:3" x14ac:dyDescent="0.3">
      <c r="A7">
        <v>4</v>
      </c>
      <c r="C7" t="b">
        <f t="shared" si="0"/>
        <v>0</v>
      </c>
    </row>
    <row r="8" spans="1:3" x14ac:dyDescent="0.3">
      <c r="A8">
        <v>8</v>
      </c>
      <c r="C8" t="b">
        <f t="shared" si="0"/>
        <v>0</v>
      </c>
    </row>
    <row r="9" spans="1:3" x14ac:dyDescent="0.3">
      <c r="A9">
        <v>28</v>
      </c>
      <c r="C9" t="b">
        <f t="shared" si="0"/>
        <v>0</v>
      </c>
    </row>
    <row r="10" spans="1:3" x14ac:dyDescent="0.3">
      <c r="A10">
        <v>21</v>
      </c>
      <c r="C10" t="b">
        <f t="shared" si="0"/>
        <v>0</v>
      </c>
    </row>
    <row r="11" spans="1:3" x14ac:dyDescent="0.3">
      <c r="A11">
        <v>23</v>
      </c>
      <c r="C11" t="b">
        <f t="shared" si="0"/>
        <v>0</v>
      </c>
    </row>
    <row r="12" spans="1:3" x14ac:dyDescent="0.3">
      <c r="A12">
        <v>2</v>
      </c>
      <c r="C12" t="b">
        <f t="shared" si="0"/>
        <v>0</v>
      </c>
    </row>
    <row r="13" spans="1:3" x14ac:dyDescent="0.3">
      <c r="A13">
        <v>38</v>
      </c>
      <c r="C13" t="b">
        <f t="shared" si="0"/>
        <v>0</v>
      </c>
    </row>
    <row r="14" spans="1:3" x14ac:dyDescent="0.3">
      <c r="A14">
        <v>38</v>
      </c>
      <c r="C14" t="b">
        <f t="shared" si="0"/>
        <v>0</v>
      </c>
    </row>
    <row r="15" spans="1:3" x14ac:dyDescent="0.3">
      <c r="A15">
        <v>47</v>
      </c>
      <c r="C15" t="b">
        <f t="shared" si="0"/>
        <v>0</v>
      </c>
    </row>
    <row r="16" spans="1:3" x14ac:dyDescent="0.3">
      <c r="A16">
        <v>35</v>
      </c>
      <c r="C16" t="b">
        <f t="shared" si="0"/>
        <v>0</v>
      </c>
    </row>
    <row r="17" spans="1:3" x14ac:dyDescent="0.3">
      <c r="A17">
        <v>15</v>
      </c>
      <c r="C17" t="b">
        <f t="shared" si="0"/>
        <v>0</v>
      </c>
    </row>
    <row r="18" spans="1:3" x14ac:dyDescent="0.3">
      <c r="A18">
        <v>2</v>
      </c>
      <c r="C18" t="b">
        <f t="shared" si="0"/>
        <v>0</v>
      </c>
    </row>
    <row r="19" spans="1:3" x14ac:dyDescent="0.3">
      <c r="A19">
        <v>4</v>
      </c>
      <c r="C19" t="b">
        <f t="shared" si="0"/>
        <v>0</v>
      </c>
    </row>
    <row r="20" spans="1:3" x14ac:dyDescent="0.3">
      <c r="A20">
        <v>23</v>
      </c>
      <c r="C20" t="b">
        <f t="shared" si="0"/>
        <v>1</v>
      </c>
    </row>
    <row r="21" spans="1:3" x14ac:dyDescent="0.3">
      <c r="A21">
        <v>195</v>
      </c>
      <c r="C21" t="b">
        <f t="shared" si="0"/>
        <v>0</v>
      </c>
    </row>
    <row r="22" spans="1:3" x14ac:dyDescent="0.3">
      <c r="A22">
        <v>11</v>
      </c>
      <c r="C22" t="b">
        <f t="shared" si="0"/>
        <v>0</v>
      </c>
    </row>
    <row r="23" spans="1:3" x14ac:dyDescent="0.3">
      <c r="A23">
        <v>5</v>
      </c>
      <c r="C23" t="b">
        <f t="shared" si="0"/>
        <v>0</v>
      </c>
    </row>
    <row r="24" spans="1:3" x14ac:dyDescent="0.3">
      <c r="A24">
        <v>18</v>
      </c>
      <c r="C24" t="b">
        <f t="shared" si="0"/>
        <v>1</v>
      </c>
    </row>
    <row r="25" spans="1:3" x14ac:dyDescent="0.3">
      <c r="A25">
        <v>80</v>
      </c>
      <c r="C25" t="b">
        <f t="shared" si="0"/>
        <v>1</v>
      </c>
    </row>
    <row r="26" spans="1:3" x14ac:dyDescent="0.3">
      <c r="A26">
        <v>80</v>
      </c>
      <c r="C26" t="b">
        <f t="shared" si="0"/>
        <v>0</v>
      </c>
    </row>
    <row r="27" spans="1:3" x14ac:dyDescent="0.3">
      <c r="A27">
        <v>1</v>
      </c>
      <c r="C27" t="b">
        <f t="shared" si="0"/>
        <v>0</v>
      </c>
    </row>
    <row r="28" spans="1:3" x14ac:dyDescent="0.3">
      <c r="A28">
        <v>23</v>
      </c>
      <c r="C28" t="b">
        <f t="shared" si="0"/>
        <v>0</v>
      </c>
    </row>
    <row r="29" spans="1:3" x14ac:dyDescent="0.3">
      <c r="A29">
        <v>21</v>
      </c>
      <c r="C29" t="b">
        <f t="shared" si="0"/>
        <v>0</v>
      </c>
    </row>
    <row r="30" spans="1:3" x14ac:dyDescent="0.3">
      <c r="A30">
        <v>26</v>
      </c>
      <c r="C30" t="b">
        <f t="shared" si="0"/>
        <v>1</v>
      </c>
    </row>
    <row r="31" spans="1:3" x14ac:dyDescent="0.3">
      <c r="A31">
        <v>51</v>
      </c>
      <c r="C31" t="b">
        <f t="shared" si="0"/>
        <v>1</v>
      </c>
    </row>
    <row r="32" spans="1:3" x14ac:dyDescent="0.3">
      <c r="A32">
        <v>76</v>
      </c>
      <c r="C32" t="b">
        <f t="shared" si="0"/>
        <v>0</v>
      </c>
    </row>
    <row r="33" spans="1:3" x14ac:dyDescent="0.3">
      <c r="A33">
        <v>14</v>
      </c>
      <c r="C33" t="b">
        <f t="shared" si="0"/>
        <v>1</v>
      </c>
    </row>
    <row r="34" spans="1:3" x14ac:dyDescent="0.3">
      <c r="A34">
        <v>71</v>
      </c>
      <c r="C34" t="b">
        <f t="shared" si="0"/>
        <v>0</v>
      </c>
    </row>
    <row r="35" spans="1:3" x14ac:dyDescent="0.3">
      <c r="A35">
        <v>12</v>
      </c>
      <c r="C35" t="b">
        <f t="shared" si="0"/>
        <v>0</v>
      </c>
    </row>
    <row r="36" spans="1:3" x14ac:dyDescent="0.3">
      <c r="A36">
        <v>33</v>
      </c>
      <c r="C36" t="b">
        <f t="shared" si="0"/>
        <v>1</v>
      </c>
    </row>
    <row r="37" spans="1:3" x14ac:dyDescent="0.3">
      <c r="A37">
        <v>114</v>
      </c>
      <c r="C37" t="b">
        <f t="shared" si="0"/>
        <v>1</v>
      </c>
    </row>
    <row r="38" spans="1:3" x14ac:dyDescent="0.3">
      <c r="A38">
        <v>67</v>
      </c>
      <c r="C38" t="b">
        <f t="shared" si="0"/>
        <v>0</v>
      </c>
    </row>
    <row r="39" spans="1:3" x14ac:dyDescent="0.3">
      <c r="A39">
        <v>18</v>
      </c>
      <c r="C39" t="b">
        <f t="shared" si="0"/>
        <v>0</v>
      </c>
    </row>
    <row r="40" spans="1:3" x14ac:dyDescent="0.3">
      <c r="A40">
        <v>26</v>
      </c>
      <c r="C40" t="b">
        <f t="shared" si="0"/>
        <v>1</v>
      </c>
    </row>
    <row r="41" spans="1:3" x14ac:dyDescent="0.3">
      <c r="A41">
        <v>168</v>
      </c>
      <c r="C41" t="b">
        <f t="shared" si="0"/>
        <v>1</v>
      </c>
    </row>
    <row r="42" spans="1:3" x14ac:dyDescent="0.3">
      <c r="A42">
        <v>76</v>
      </c>
      <c r="C42" t="b">
        <f t="shared" si="0"/>
        <v>0</v>
      </c>
    </row>
    <row r="43" spans="1:3" x14ac:dyDescent="0.3">
      <c r="A43">
        <v>7</v>
      </c>
      <c r="C43" t="b">
        <f t="shared" si="0"/>
        <v>1</v>
      </c>
    </row>
    <row r="44" spans="1:3" x14ac:dyDescent="0.3">
      <c r="A44">
        <v>56</v>
      </c>
      <c r="C44" t="b">
        <f t="shared" si="0"/>
        <v>0</v>
      </c>
    </row>
    <row r="45" spans="1:3" x14ac:dyDescent="0.3">
      <c r="A45">
        <v>11</v>
      </c>
      <c r="C45" t="b">
        <f t="shared" si="0"/>
        <v>1</v>
      </c>
    </row>
    <row r="46" spans="1:3" x14ac:dyDescent="0.3">
      <c r="A46">
        <v>69</v>
      </c>
      <c r="C46" t="b">
        <f t="shared" si="0"/>
        <v>1</v>
      </c>
    </row>
    <row r="47" spans="1:3" x14ac:dyDescent="0.3">
      <c r="A47">
        <v>81</v>
      </c>
      <c r="C47" t="b">
        <f t="shared" si="0"/>
        <v>0</v>
      </c>
    </row>
    <row r="48" spans="1:3" x14ac:dyDescent="0.3">
      <c r="A48">
        <v>26</v>
      </c>
      <c r="C48" t="b">
        <f t="shared" si="0"/>
        <v>0</v>
      </c>
    </row>
    <row r="49" spans="1:3" x14ac:dyDescent="0.3">
      <c r="A49">
        <v>29</v>
      </c>
      <c r="C49" t="b">
        <f t="shared" si="0"/>
        <v>1</v>
      </c>
    </row>
    <row r="50" spans="1:3" x14ac:dyDescent="0.3">
      <c r="A50">
        <v>60</v>
      </c>
      <c r="C50" t="b">
        <f t="shared" si="0"/>
        <v>0</v>
      </c>
    </row>
    <row r="51" spans="1:3" x14ac:dyDescent="0.3">
      <c r="A51">
        <v>7</v>
      </c>
      <c r="C51" t="b">
        <f t="shared" si="0"/>
        <v>0</v>
      </c>
    </row>
    <row r="52" spans="1:3" x14ac:dyDescent="0.3">
      <c r="A52">
        <v>0</v>
      </c>
      <c r="C52" t="b">
        <f t="shared" si="0"/>
        <v>0</v>
      </c>
    </row>
    <row r="53" spans="1:3" x14ac:dyDescent="0.3">
      <c r="A53">
        <v>2</v>
      </c>
      <c r="C53" t="b">
        <f t="shared" si="0"/>
        <v>1</v>
      </c>
    </row>
    <row r="54" spans="1:3" x14ac:dyDescent="0.3">
      <c r="A54">
        <v>182</v>
      </c>
      <c r="C54" t="b">
        <f t="shared" si="0"/>
        <v>0</v>
      </c>
    </row>
    <row r="55" spans="1:3" x14ac:dyDescent="0.3">
      <c r="A55">
        <v>9</v>
      </c>
      <c r="C55" t="b">
        <f t="shared" si="0"/>
        <v>1</v>
      </c>
    </row>
    <row r="56" spans="1:3" x14ac:dyDescent="0.3">
      <c r="A56">
        <v>247</v>
      </c>
      <c r="C56" t="b">
        <f t="shared" si="0"/>
        <v>1</v>
      </c>
    </row>
    <row r="57" spans="1:3" x14ac:dyDescent="0.3">
      <c r="A57">
        <v>133</v>
      </c>
      <c r="C57" t="b">
        <f t="shared" si="0"/>
        <v>1</v>
      </c>
    </row>
    <row r="58" spans="1:3" x14ac:dyDescent="0.3">
      <c r="A58">
        <v>54</v>
      </c>
      <c r="C58" t="b">
        <f t="shared" si="0"/>
        <v>1</v>
      </c>
    </row>
    <row r="59" spans="1:3" x14ac:dyDescent="0.3">
      <c r="A59">
        <v>125</v>
      </c>
      <c r="C59" t="b">
        <f t="shared" si="0"/>
        <v>0</v>
      </c>
    </row>
    <row r="60" spans="1:3" x14ac:dyDescent="0.3">
      <c r="A60">
        <v>11</v>
      </c>
      <c r="C60" t="b">
        <f t="shared" si="0"/>
        <v>0</v>
      </c>
    </row>
    <row r="61" spans="1:3" x14ac:dyDescent="0.3">
      <c r="A61">
        <v>5</v>
      </c>
      <c r="C61" t="b">
        <f t="shared" si="0"/>
        <v>0</v>
      </c>
    </row>
    <row r="62" spans="1:3" x14ac:dyDescent="0.3">
      <c r="A62">
        <v>42</v>
      </c>
      <c r="C62" t="b">
        <f t="shared" si="0"/>
        <v>0</v>
      </c>
    </row>
    <row r="63" spans="1:3" x14ac:dyDescent="0.3">
      <c r="A63">
        <v>42</v>
      </c>
      <c r="C63" t="b">
        <f t="shared" si="0"/>
        <v>0</v>
      </c>
    </row>
    <row r="64" spans="1:3" x14ac:dyDescent="0.3">
      <c r="A64">
        <v>1</v>
      </c>
      <c r="C64" t="b">
        <f t="shared" si="0"/>
        <v>1</v>
      </c>
    </row>
    <row r="65" spans="1:3" x14ac:dyDescent="0.3">
      <c r="A65">
        <v>85</v>
      </c>
      <c r="C65" t="b">
        <f t="shared" si="0"/>
        <v>1</v>
      </c>
    </row>
    <row r="66" spans="1:3" x14ac:dyDescent="0.3">
      <c r="A66">
        <v>118</v>
      </c>
      <c r="C66" t="b">
        <f t="shared" ref="C66:C101" si="1">AND(A67&gt;50)</f>
        <v>1</v>
      </c>
    </row>
    <row r="67" spans="1:3" x14ac:dyDescent="0.3">
      <c r="A67">
        <v>219</v>
      </c>
      <c r="C67" t="b">
        <f t="shared" si="1"/>
        <v>0</v>
      </c>
    </row>
    <row r="68" spans="1:3" x14ac:dyDescent="0.3">
      <c r="A68">
        <v>25</v>
      </c>
      <c r="C68" t="b">
        <f t="shared" si="1"/>
        <v>0</v>
      </c>
    </row>
    <row r="69" spans="1:3" x14ac:dyDescent="0.3">
      <c r="A69">
        <v>12</v>
      </c>
      <c r="C69" t="b">
        <f t="shared" si="1"/>
        <v>0</v>
      </c>
    </row>
    <row r="70" spans="1:3" x14ac:dyDescent="0.3">
      <c r="A70">
        <v>27</v>
      </c>
      <c r="C70" t="b">
        <f t="shared" si="1"/>
        <v>1</v>
      </c>
    </row>
    <row r="71" spans="1:3" x14ac:dyDescent="0.3">
      <c r="A71">
        <v>99</v>
      </c>
      <c r="C71" t="b">
        <f t="shared" si="1"/>
        <v>0</v>
      </c>
    </row>
    <row r="72" spans="1:3" x14ac:dyDescent="0.3">
      <c r="A72">
        <v>6</v>
      </c>
      <c r="C72" t="b">
        <f t="shared" si="1"/>
        <v>0</v>
      </c>
    </row>
    <row r="73" spans="1:3" x14ac:dyDescent="0.3">
      <c r="A73">
        <v>23</v>
      </c>
      <c r="C73" t="b">
        <f t="shared" si="1"/>
        <v>1</v>
      </c>
    </row>
    <row r="74" spans="1:3" x14ac:dyDescent="0.3">
      <c r="A74">
        <v>130</v>
      </c>
      <c r="C74" t="b">
        <f t="shared" si="1"/>
        <v>0</v>
      </c>
    </row>
    <row r="75" spans="1:3" x14ac:dyDescent="0.3">
      <c r="A75">
        <v>15</v>
      </c>
      <c r="C75" t="b">
        <f t="shared" si="1"/>
        <v>0</v>
      </c>
    </row>
    <row r="76" spans="1:3" x14ac:dyDescent="0.3">
      <c r="A76">
        <v>14</v>
      </c>
      <c r="C76" t="b">
        <f t="shared" si="1"/>
        <v>0</v>
      </c>
    </row>
    <row r="77" spans="1:3" x14ac:dyDescent="0.3">
      <c r="A77">
        <v>42</v>
      </c>
      <c r="C77" t="b">
        <f t="shared" si="1"/>
        <v>0</v>
      </c>
    </row>
    <row r="78" spans="1:3" x14ac:dyDescent="0.3">
      <c r="A78">
        <v>1</v>
      </c>
      <c r="C78" t="b">
        <f t="shared" si="1"/>
        <v>0</v>
      </c>
    </row>
    <row r="79" spans="1:3" x14ac:dyDescent="0.3">
      <c r="A79">
        <v>4</v>
      </c>
      <c r="C79" t="b">
        <f t="shared" si="1"/>
        <v>0</v>
      </c>
    </row>
    <row r="80" spans="1:3" x14ac:dyDescent="0.3">
      <c r="A80">
        <v>38</v>
      </c>
      <c r="C80" t="b">
        <f t="shared" si="1"/>
        <v>1</v>
      </c>
    </row>
    <row r="81" spans="1:3" x14ac:dyDescent="0.3">
      <c r="A81">
        <v>51</v>
      </c>
      <c r="C81" t="b">
        <f t="shared" si="1"/>
        <v>0</v>
      </c>
    </row>
    <row r="82" spans="1:3" x14ac:dyDescent="0.3">
      <c r="A82">
        <v>23</v>
      </c>
      <c r="C82" t="b">
        <f t="shared" si="1"/>
        <v>0</v>
      </c>
    </row>
    <row r="83" spans="1:3" x14ac:dyDescent="0.3">
      <c r="A83">
        <v>32</v>
      </c>
      <c r="C83" t="b">
        <f t="shared" si="1"/>
        <v>0</v>
      </c>
    </row>
    <row r="84" spans="1:3" x14ac:dyDescent="0.3">
      <c r="A84">
        <v>2</v>
      </c>
      <c r="C84" t="b">
        <f t="shared" si="1"/>
        <v>0</v>
      </c>
    </row>
    <row r="85" spans="1:3" x14ac:dyDescent="0.3">
      <c r="A85">
        <v>23</v>
      </c>
      <c r="C85" t="b">
        <f t="shared" si="1"/>
        <v>1</v>
      </c>
    </row>
    <row r="86" spans="1:3" x14ac:dyDescent="0.3">
      <c r="A86">
        <v>191</v>
      </c>
      <c r="C86" t="b">
        <f t="shared" si="1"/>
        <v>0</v>
      </c>
    </row>
    <row r="87" spans="1:3" x14ac:dyDescent="0.3">
      <c r="A87">
        <v>4</v>
      </c>
      <c r="C87" t="b">
        <f t="shared" si="1"/>
        <v>1</v>
      </c>
    </row>
    <row r="88" spans="1:3" x14ac:dyDescent="0.3">
      <c r="A88">
        <v>102</v>
      </c>
      <c r="C88" t="b">
        <f t="shared" si="1"/>
        <v>1</v>
      </c>
    </row>
    <row r="89" spans="1:3" x14ac:dyDescent="0.3">
      <c r="A89">
        <v>158</v>
      </c>
      <c r="C89" t="b">
        <f t="shared" si="1"/>
        <v>0</v>
      </c>
    </row>
    <row r="90" spans="1:3" x14ac:dyDescent="0.3">
      <c r="A90">
        <v>10</v>
      </c>
      <c r="C90" t="b">
        <f t="shared" si="1"/>
        <v>0</v>
      </c>
    </row>
    <row r="91" spans="1:3" x14ac:dyDescent="0.3">
      <c r="A91">
        <v>7</v>
      </c>
      <c r="C91" t="b">
        <f t="shared" si="1"/>
        <v>0</v>
      </c>
    </row>
    <row r="92" spans="1:3" x14ac:dyDescent="0.3">
      <c r="A92">
        <v>30</v>
      </c>
      <c r="C92" t="b">
        <f t="shared" si="1"/>
        <v>0</v>
      </c>
    </row>
    <row r="93" spans="1:3" x14ac:dyDescent="0.3">
      <c r="A93">
        <v>16</v>
      </c>
      <c r="C93" t="b">
        <f t="shared" si="1"/>
        <v>1</v>
      </c>
    </row>
    <row r="94" spans="1:3" x14ac:dyDescent="0.3">
      <c r="A94">
        <v>99</v>
      </c>
      <c r="C94" t="b">
        <f t="shared" si="1"/>
        <v>0</v>
      </c>
    </row>
    <row r="95" spans="1:3" x14ac:dyDescent="0.3">
      <c r="A95">
        <v>43</v>
      </c>
      <c r="C95" t="b">
        <f t="shared" si="1"/>
        <v>0</v>
      </c>
    </row>
    <row r="96" spans="1:3" x14ac:dyDescent="0.3">
      <c r="A96">
        <v>41</v>
      </c>
      <c r="C96" t="b">
        <f t="shared" si="1"/>
        <v>0</v>
      </c>
    </row>
    <row r="97" spans="1:3" x14ac:dyDescent="0.3">
      <c r="A97">
        <v>9</v>
      </c>
      <c r="C97" t="b">
        <f t="shared" si="1"/>
        <v>1</v>
      </c>
    </row>
    <row r="98" spans="1:3" x14ac:dyDescent="0.3">
      <c r="A98">
        <v>143</v>
      </c>
      <c r="C98" t="b">
        <f t="shared" si="1"/>
        <v>0</v>
      </c>
    </row>
    <row r="99" spans="1:3" x14ac:dyDescent="0.3">
      <c r="A99">
        <v>33</v>
      </c>
      <c r="C99" t="b">
        <f t="shared" si="1"/>
        <v>1</v>
      </c>
    </row>
    <row r="100" spans="1:3" x14ac:dyDescent="0.3">
      <c r="A100">
        <v>79</v>
      </c>
      <c r="C100" t="b">
        <f t="shared" si="1"/>
        <v>0</v>
      </c>
    </row>
    <row r="101" spans="1:3" x14ac:dyDescent="0.3">
      <c r="A101">
        <v>3</v>
      </c>
      <c r="C101" t="b">
        <f t="shared" si="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EC18-0FD6-42C3-A83C-E80E9A3F3C87}">
  <dimension ref="A1:B10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4</v>
      </c>
      <c r="B1" t="s">
        <v>47</v>
      </c>
    </row>
    <row r="2" spans="1:2" x14ac:dyDescent="0.3">
      <c r="A2" s="13">
        <v>46891</v>
      </c>
      <c r="B2">
        <f>_xlfn.Z.TEST(A2:A101,52247.25,25173.08 )</f>
        <v>0.26198765011857239</v>
      </c>
    </row>
    <row r="3" spans="1:2" x14ac:dyDescent="0.3">
      <c r="A3" s="13">
        <v>70951</v>
      </c>
    </row>
    <row r="4" spans="1:2" x14ac:dyDescent="0.3">
      <c r="A4" s="13">
        <v>71022</v>
      </c>
    </row>
    <row r="5" spans="1:2" x14ac:dyDescent="0.3">
      <c r="A5" s="13">
        <v>22448</v>
      </c>
    </row>
    <row r="6" spans="1:2" x14ac:dyDescent="0.3">
      <c r="A6" s="13">
        <v>34824</v>
      </c>
    </row>
    <row r="7" spans="1:2" x14ac:dyDescent="0.3">
      <c r="A7" s="13">
        <v>62499</v>
      </c>
    </row>
    <row r="8" spans="1:2" x14ac:dyDescent="0.3">
      <c r="A8" s="13">
        <v>64014</v>
      </c>
    </row>
    <row r="9" spans="1:2" x14ac:dyDescent="0.3">
      <c r="A9" s="13">
        <v>19789</v>
      </c>
    </row>
    <row r="10" spans="1:2" x14ac:dyDescent="0.3">
      <c r="A10" s="13">
        <v>64108</v>
      </c>
    </row>
    <row r="11" spans="1:2" x14ac:dyDescent="0.3">
      <c r="A11" s="13">
        <v>82017</v>
      </c>
    </row>
    <row r="12" spans="1:2" x14ac:dyDescent="0.3">
      <c r="A12" s="13">
        <v>33444</v>
      </c>
    </row>
    <row r="13" spans="1:2" x14ac:dyDescent="0.3">
      <c r="A13" s="13">
        <v>42767</v>
      </c>
    </row>
    <row r="14" spans="1:2" x14ac:dyDescent="0.3">
      <c r="A14" s="13">
        <v>85844</v>
      </c>
    </row>
    <row r="15" spans="1:2" x14ac:dyDescent="0.3">
      <c r="A15" s="13">
        <v>34838</v>
      </c>
    </row>
    <row r="16" spans="1:2" x14ac:dyDescent="0.3">
      <c r="A16" s="13">
        <v>59821</v>
      </c>
    </row>
    <row r="17" spans="1:1" x14ac:dyDescent="0.3">
      <c r="A17" s="13">
        <v>42557</v>
      </c>
    </row>
    <row r="18" spans="1:1" x14ac:dyDescent="0.3">
      <c r="A18" s="13">
        <v>45207</v>
      </c>
    </row>
    <row r="19" spans="1:1" x14ac:dyDescent="0.3">
      <c r="A19" s="13">
        <v>35544</v>
      </c>
    </row>
    <row r="20" spans="1:1" x14ac:dyDescent="0.3">
      <c r="A20" s="13">
        <v>49544</v>
      </c>
    </row>
    <row r="21" spans="1:1" x14ac:dyDescent="0.3">
      <c r="A21" s="13">
        <v>71107</v>
      </c>
    </row>
    <row r="22" spans="1:1" x14ac:dyDescent="0.3">
      <c r="A22" s="13">
        <v>31859</v>
      </c>
    </row>
    <row r="23" spans="1:1" x14ac:dyDescent="0.3">
      <c r="A23" s="13">
        <v>62637</v>
      </c>
    </row>
    <row r="24" spans="1:1" x14ac:dyDescent="0.3">
      <c r="A24" s="13">
        <v>52190</v>
      </c>
    </row>
    <row r="25" spans="1:1" x14ac:dyDescent="0.3">
      <c r="A25" s="13">
        <v>87305</v>
      </c>
    </row>
    <row r="26" spans="1:1" x14ac:dyDescent="0.3">
      <c r="A26" s="13">
        <v>78075</v>
      </c>
    </row>
    <row r="27" spans="1:1" x14ac:dyDescent="0.3">
      <c r="A27" s="13">
        <v>50523</v>
      </c>
    </row>
    <row r="28" spans="1:1" x14ac:dyDescent="0.3">
      <c r="A28" s="13">
        <v>11012</v>
      </c>
    </row>
    <row r="29" spans="1:1" x14ac:dyDescent="0.3">
      <c r="A29" s="13">
        <v>63943</v>
      </c>
    </row>
    <row r="30" spans="1:1" x14ac:dyDescent="0.3">
      <c r="A30" s="13">
        <v>55686</v>
      </c>
    </row>
    <row r="31" spans="1:1" x14ac:dyDescent="0.3">
      <c r="A31" s="13">
        <v>90687</v>
      </c>
    </row>
    <row r="32" spans="1:1" x14ac:dyDescent="0.3">
      <c r="A32" s="13">
        <v>70924</v>
      </c>
    </row>
    <row r="33" spans="1:1" x14ac:dyDescent="0.3">
      <c r="A33" s="13"/>
    </row>
    <row r="34" spans="1:1" x14ac:dyDescent="0.3">
      <c r="A34" s="13">
        <v>74716</v>
      </c>
    </row>
    <row r="35" spans="1:1" x14ac:dyDescent="0.3">
      <c r="A35" s="13">
        <v>33316</v>
      </c>
    </row>
    <row r="36" spans="1:1" x14ac:dyDescent="0.3">
      <c r="A36" s="13">
        <v>70643</v>
      </c>
    </row>
    <row r="37" spans="1:1" x14ac:dyDescent="0.3">
      <c r="A37" s="13">
        <v>70792</v>
      </c>
    </row>
    <row r="38" spans="1:1" x14ac:dyDescent="0.3">
      <c r="A38" s="13">
        <v>34074</v>
      </c>
    </row>
    <row r="39" spans="1:1" x14ac:dyDescent="0.3">
      <c r="A39" s="13">
        <v>54414</v>
      </c>
    </row>
    <row r="40" spans="1:1" x14ac:dyDescent="0.3">
      <c r="A40" s="13">
        <v>69063</v>
      </c>
    </row>
    <row r="41" spans="1:1" x14ac:dyDescent="0.3">
      <c r="A41" s="13">
        <v>71819</v>
      </c>
    </row>
    <row r="42" spans="1:1" x14ac:dyDescent="0.3">
      <c r="A42" s="13">
        <v>61010</v>
      </c>
    </row>
    <row r="43" spans="1:1" x14ac:dyDescent="0.3">
      <c r="A43" s="13">
        <v>33456</v>
      </c>
    </row>
    <row r="44" spans="1:1" x14ac:dyDescent="0.3">
      <c r="A44" s="13">
        <v>54730</v>
      </c>
    </row>
    <row r="45" spans="1:1" x14ac:dyDescent="0.3">
      <c r="A45" s="13">
        <v>29938</v>
      </c>
    </row>
    <row r="46" spans="1:1" x14ac:dyDescent="0.3">
      <c r="A46" s="13">
        <v>38097</v>
      </c>
    </row>
    <row r="47" spans="1:1" x14ac:dyDescent="0.3">
      <c r="A47" s="13">
        <v>65846</v>
      </c>
    </row>
    <row r="48" spans="1:1" x14ac:dyDescent="0.3">
      <c r="A48" s="13">
        <v>34213</v>
      </c>
    </row>
    <row r="49" spans="1:1" x14ac:dyDescent="0.3">
      <c r="A49" s="13">
        <v>49669</v>
      </c>
    </row>
    <row r="50" spans="1:1" x14ac:dyDescent="0.3">
      <c r="A50" s="13">
        <v>66303</v>
      </c>
    </row>
    <row r="51" spans="1:1" x14ac:dyDescent="0.3">
      <c r="A51" s="13">
        <v>25271</v>
      </c>
    </row>
    <row r="52" spans="1:1" x14ac:dyDescent="0.3">
      <c r="A52" s="13">
        <v>24645</v>
      </c>
    </row>
    <row r="53" spans="1:1" x14ac:dyDescent="0.3">
      <c r="A53" s="13">
        <v>30351</v>
      </c>
    </row>
    <row r="54" spans="1:1" x14ac:dyDescent="0.3">
      <c r="A54" s="13">
        <v>72354</v>
      </c>
    </row>
    <row r="55" spans="1:1" x14ac:dyDescent="0.3">
      <c r="A55" s="13">
        <v>41473</v>
      </c>
    </row>
    <row r="56" spans="1:1" x14ac:dyDescent="0.3">
      <c r="A56" s="13">
        <v>61223</v>
      </c>
    </row>
    <row r="57" spans="1:1" x14ac:dyDescent="0.3">
      <c r="A57" s="13">
        <v>77870</v>
      </c>
    </row>
    <row r="58" spans="1:1" x14ac:dyDescent="0.3">
      <c r="A58" s="13">
        <v>72679</v>
      </c>
    </row>
    <row r="59" spans="1:1" x14ac:dyDescent="0.3">
      <c r="A59" s="13">
        <v>53253</v>
      </c>
    </row>
    <row r="60" spans="1:1" x14ac:dyDescent="0.3">
      <c r="A60" s="13">
        <v>44689</v>
      </c>
    </row>
    <row r="61" spans="1:1" x14ac:dyDescent="0.3">
      <c r="A61" s="13">
        <v>56253</v>
      </c>
    </row>
    <row r="62" spans="1:1" x14ac:dyDescent="0.3">
      <c r="A62" s="13">
        <v>48432</v>
      </c>
    </row>
    <row r="63" spans="1:1" x14ac:dyDescent="0.3">
      <c r="A63" s="13">
        <v>48432</v>
      </c>
    </row>
    <row r="64" spans="1:1" x14ac:dyDescent="0.3">
      <c r="A64" s="13">
        <v>30899</v>
      </c>
    </row>
    <row r="65" spans="1:1" x14ac:dyDescent="0.3">
      <c r="A65" s="13">
        <v>61787</v>
      </c>
    </row>
    <row r="66" spans="1:1" x14ac:dyDescent="0.3">
      <c r="A66" s="13">
        <v>88347</v>
      </c>
    </row>
    <row r="67" spans="1:1" x14ac:dyDescent="0.3">
      <c r="A67" s="13">
        <v>33051</v>
      </c>
    </row>
    <row r="68" spans="1:1" x14ac:dyDescent="0.3">
      <c r="A68" s="13">
        <v>7500</v>
      </c>
    </row>
    <row r="69" spans="1:1" x14ac:dyDescent="0.3">
      <c r="A69" s="13">
        <v>33316</v>
      </c>
    </row>
    <row r="70" spans="1:1" x14ac:dyDescent="0.3">
      <c r="A70" s="13">
        <v>40321</v>
      </c>
    </row>
    <row r="71" spans="1:1" x14ac:dyDescent="0.3">
      <c r="A71" s="13">
        <v>40689</v>
      </c>
    </row>
    <row r="72" spans="1:1" x14ac:dyDescent="0.3">
      <c r="A72" s="13">
        <v>54984</v>
      </c>
    </row>
    <row r="73" spans="1:1" x14ac:dyDescent="0.3">
      <c r="A73" s="13">
        <v>43641</v>
      </c>
    </row>
    <row r="74" spans="1:1" x14ac:dyDescent="0.3">
      <c r="A74" s="13">
        <v>70038</v>
      </c>
    </row>
    <row r="75" spans="1:1" x14ac:dyDescent="0.3">
      <c r="A75" s="13">
        <v>74068</v>
      </c>
    </row>
    <row r="76" spans="1:1" x14ac:dyDescent="0.3">
      <c r="A76" s="13">
        <v>71706</v>
      </c>
    </row>
    <row r="77" spans="1:1" x14ac:dyDescent="0.3">
      <c r="A77" s="13">
        <v>48948</v>
      </c>
    </row>
    <row r="78" spans="1:1" x14ac:dyDescent="0.3">
      <c r="A78" s="13">
        <v>37758</v>
      </c>
    </row>
    <row r="79" spans="1:1" x14ac:dyDescent="0.3">
      <c r="A79" s="13">
        <v>50437</v>
      </c>
    </row>
    <row r="80" spans="1:1" x14ac:dyDescent="0.3">
      <c r="A80" s="13">
        <v>65316</v>
      </c>
    </row>
    <row r="81" spans="1:1" x14ac:dyDescent="0.3">
      <c r="A81" s="13">
        <v>80067</v>
      </c>
    </row>
    <row r="82" spans="1:1" x14ac:dyDescent="0.3">
      <c r="A82" s="13">
        <v>32644</v>
      </c>
    </row>
    <row r="83" spans="1:1" x14ac:dyDescent="0.3">
      <c r="A83" s="13">
        <v>66664</v>
      </c>
    </row>
    <row r="84" spans="1:1" x14ac:dyDescent="0.3">
      <c r="A84" s="13">
        <v>30992</v>
      </c>
    </row>
    <row r="85" spans="1:1" x14ac:dyDescent="0.3">
      <c r="A85" s="13">
        <v>55158</v>
      </c>
    </row>
    <row r="86" spans="1:1" x14ac:dyDescent="0.3">
      <c r="A86" s="13">
        <v>70321</v>
      </c>
    </row>
    <row r="87" spans="1:1" x14ac:dyDescent="0.3">
      <c r="A87" s="13">
        <v>44794</v>
      </c>
    </row>
    <row r="88" spans="1:1" x14ac:dyDescent="0.3">
      <c r="A88" s="13">
        <v>43263</v>
      </c>
    </row>
    <row r="89" spans="1:1" x14ac:dyDescent="0.3">
      <c r="A89" s="13">
        <v>77568</v>
      </c>
    </row>
    <row r="90" spans="1:1" x14ac:dyDescent="0.3">
      <c r="A90" s="13">
        <v>38643</v>
      </c>
    </row>
    <row r="91" spans="1:1" x14ac:dyDescent="0.3">
      <c r="A91" s="13">
        <v>36038</v>
      </c>
    </row>
    <row r="92" spans="1:1" x14ac:dyDescent="0.3">
      <c r="A92" s="13">
        <v>64590</v>
      </c>
    </row>
    <row r="93" spans="1:1" x14ac:dyDescent="0.3">
      <c r="A93" s="13">
        <v>46931</v>
      </c>
    </row>
    <row r="94" spans="1:1" x14ac:dyDescent="0.3">
      <c r="A94" s="13">
        <v>40689</v>
      </c>
    </row>
    <row r="95" spans="1:1" x14ac:dyDescent="0.3">
      <c r="A95" s="13">
        <v>61482</v>
      </c>
    </row>
    <row r="96" spans="1:1" x14ac:dyDescent="0.3">
      <c r="A96" s="13">
        <v>80910</v>
      </c>
    </row>
    <row r="97" spans="1:1" x14ac:dyDescent="0.3">
      <c r="A97" s="13">
        <v>36273</v>
      </c>
    </row>
    <row r="98" spans="1:1" x14ac:dyDescent="0.3">
      <c r="A98" s="13">
        <v>94642</v>
      </c>
    </row>
    <row r="99" spans="1:1" x14ac:dyDescent="0.3">
      <c r="A99" s="13">
        <v>92910</v>
      </c>
    </row>
    <row r="100" spans="1:1" x14ac:dyDescent="0.3">
      <c r="A100" s="13">
        <v>77298</v>
      </c>
    </row>
    <row r="101" spans="1:1" x14ac:dyDescent="0.3">
      <c r="A101" s="13">
        <v>44300</v>
      </c>
    </row>
    <row r="102" spans="1:1" x14ac:dyDescent="0.3">
      <c r="A102" s="18">
        <f t="shared" ref="A102" si="0">SUM(A2:A101)</f>
        <v>5332084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633B2-6B60-444A-901E-9B73EC71652A}">
  <dimension ref="A1:N103"/>
  <sheetViews>
    <sheetView workbookViewId="0">
      <selection activeCell="M20" sqref="M20"/>
    </sheetView>
  </sheetViews>
  <sheetFormatPr defaultRowHeight="14.4" x14ac:dyDescent="0.3"/>
  <cols>
    <col min="1" max="1" width="15.77734375" bestFit="1" customWidth="1"/>
    <col min="2" max="2" width="15.88671875" bestFit="1" customWidth="1"/>
    <col min="3" max="3" width="15.88671875" customWidth="1"/>
    <col min="4" max="4" width="11.88671875" bestFit="1" customWidth="1"/>
    <col min="5" max="5" width="9" customWidth="1"/>
    <col min="8" max="8" width="17.6640625" bestFit="1" customWidth="1"/>
    <col min="13" max="13" width="11" bestFit="1" customWidth="1"/>
  </cols>
  <sheetData>
    <row r="1" spans="1:14" x14ac:dyDescent="0.3">
      <c r="A1" t="s">
        <v>9</v>
      </c>
      <c r="B1" t="s">
        <v>48</v>
      </c>
      <c r="C1" t="s">
        <v>51</v>
      </c>
      <c r="D1" t="s">
        <v>52</v>
      </c>
      <c r="E1" t="s">
        <v>49</v>
      </c>
      <c r="F1" t="s">
        <v>50</v>
      </c>
    </row>
    <row r="2" spans="1:14" x14ac:dyDescent="0.3">
      <c r="A2" s="19">
        <v>43</v>
      </c>
      <c r="B2" s="19">
        <v>23</v>
      </c>
      <c r="C2" s="20">
        <f>A102/100</f>
        <v>333.58</v>
      </c>
      <c r="D2" s="20">
        <f>B102/100</f>
        <v>177.25</v>
      </c>
      <c r="E2">
        <f>ABS(A2-C$2)</f>
        <v>290.58</v>
      </c>
      <c r="F2">
        <f>ABS(B2-D$2)</f>
        <v>154.25</v>
      </c>
    </row>
    <row r="3" spans="1:14" x14ac:dyDescent="0.3">
      <c r="A3" s="19">
        <v>239</v>
      </c>
      <c r="B3" s="19">
        <v>554</v>
      </c>
      <c r="C3" s="21"/>
      <c r="E3">
        <f t="shared" ref="E3:E66" si="0">ABS(A3-C$2)</f>
        <v>94.579999999999984</v>
      </c>
      <c r="F3">
        <f t="shared" ref="F3:F66" si="1">ABS(B3-D$2)</f>
        <v>376.75</v>
      </c>
      <c r="H3" t="s">
        <v>53</v>
      </c>
    </row>
    <row r="4" spans="1:14" x14ac:dyDescent="0.3">
      <c r="A4" s="19">
        <v>909</v>
      </c>
      <c r="B4" s="19">
        <v>278</v>
      </c>
      <c r="C4" s="21"/>
      <c r="E4">
        <f t="shared" si="0"/>
        <v>575.42000000000007</v>
      </c>
      <c r="F4">
        <f t="shared" si="1"/>
        <v>100.75</v>
      </c>
    </row>
    <row r="5" spans="1:14" ht="15" thickBot="1" x14ac:dyDescent="0.35">
      <c r="A5" s="19">
        <v>3</v>
      </c>
      <c r="B5" s="19">
        <v>8</v>
      </c>
      <c r="C5" s="21"/>
      <c r="E5">
        <f t="shared" si="0"/>
        <v>330.58</v>
      </c>
      <c r="F5">
        <f t="shared" si="1"/>
        <v>169.25</v>
      </c>
      <c r="H5" t="s">
        <v>54</v>
      </c>
    </row>
    <row r="6" spans="1:14" x14ac:dyDescent="0.3">
      <c r="A6" s="19">
        <v>4</v>
      </c>
      <c r="B6" s="19">
        <v>11</v>
      </c>
      <c r="C6" s="21"/>
      <c r="E6">
        <f t="shared" si="0"/>
        <v>329.58</v>
      </c>
      <c r="F6">
        <f t="shared" si="1"/>
        <v>166.25</v>
      </c>
      <c r="H6" s="26" t="s">
        <v>55</v>
      </c>
      <c r="I6" s="26" t="s">
        <v>56</v>
      </c>
      <c r="J6" s="26" t="s">
        <v>57</v>
      </c>
      <c r="K6" s="26" t="s">
        <v>58</v>
      </c>
      <c r="L6" s="26" t="s">
        <v>59</v>
      </c>
    </row>
    <row r="7" spans="1:14" x14ac:dyDescent="0.3">
      <c r="A7" s="19">
        <v>140</v>
      </c>
      <c r="B7" s="19">
        <v>61</v>
      </c>
      <c r="C7" s="21"/>
      <c r="E7">
        <f t="shared" si="0"/>
        <v>193.57999999999998</v>
      </c>
      <c r="F7">
        <f t="shared" si="1"/>
        <v>116.25</v>
      </c>
      <c r="H7" s="24" t="s">
        <v>60</v>
      </c>
      <c r="I7" s="24">
        <v>100</v>
      </c>
      <c r="J7" s="24">
        <v>28395.080000000016</v>
      </c>
      <c r="K7" s="24">
        <v>283.95080000000019</v>
      </c>
      <c r="L7" s="24">
        <v>38768.855332686828</v>
      </c>
    </row>
    <row r="8" spans="1:14" ht="15" thickBot="1" x14ac:dyDescent="0.35">
      <c r="A8" s="19">
        <v>406</v>
      </c>
      <c r="B8" s="19">
        <v>30</v>
      </c>
      <c r="C8" s="21"/>
      <c r="E8">
        <f t="shared" si="0"/>
        <v>72.420000000000016</v>
      </c>
      <c r="F8">
        <f t="shared" si="1"/>
        <v>147.25</v>
      </c>
      <c r="H8" s="25" t="s">
        <v>61</v>
      </c>
      <c r="I8" s="25">
        <v>100</v>
      </c>
      <c r="J8" s="25">
        <v>17695</v>
      </c>
      <c r="K8" s="25">
        <v>176.95</v>
      </c>
      <c r="L8" s="25">
        <v>17839.843434343435</v>
      </c>
    </row>
    <row r="9" spans="1:14" x14ac:dyDescent="0.3">
      <c r="A9" s="19">
        <v>2</v>
      </c>
      <c r="B9" s="19">
        <v>9</v>
      </c>
      <c r="C9" s="21"/>
      <c r="E9">
        <f t="shared" si="0"/>
        <v>331.58</v>
      </c>
      <c r="F9">
        <f t="shared" si="1"/>
        <v>168.25</v>
      </c>
    </row>
    <row r="10" spans="1:14" x14ac:dyDescent="0.3">
      <c r="A10" s="19">
        <v>948</v>
      </c>
      <c r="B10" s="19">
        <v>86</v>
      </c>
      <c r="C10" s="21"/>
      <c r="E10">
        <f t="shared" si="0"/>
        <v>614.42000000000007</v>
      </c>
      <c r="F10">
        <f t="shared" si="1"/>
        <v>91.25</v>
      </c>
    </row>
    <row r="11" spans="1:14" ht="15" thickBot="1" x14ac:dyDescent="0.35">
      <c r="A11" s="19">
        <v>184</v>
      </c>
      <c r="B11" s="19">
        <v>446</v>
      </c>
      <c r="C11" s="21"/>
      <c r="E11">
        <f t="shared" si="0"/>
        <v>149.57999999999998</v>
      </c>
      <c r="F11">
        <f t="shared" si="1"/>
        <v>268.75</v>
      </c>
      <c r="H11" t="s">
        <v>62</v>
      </c>
    </row>
    <row r="12" spans="1:14" x14ac:dyDescent="0.3">
      <c r="A12" s="19">
        <v>8</v>
      </c>
      <c r="B12" s="19">
        <v>8</v>
      </c>
      <c r="C12" s="21"/>
      <c r="E12">
        <f t="shared" si="0"/>
        <v>325.58</v>
      </c>
      <c r="F12">
        <f t="shared" si="1"/>
        <v>169.25</v>
      </c>
      <c r="H12" s="26" t="s">
        <v>63</v>
      </c>
      <c r="I12" s="26" t="s">
        <v>64</v>
      </c>
      <c r="J12" s="26" t="s">
        <v>65</v>
      </c>
      <c r="K12" s="26" t="s">
        <v>66</v>
      </c>
      <c r="L12" s="26" t="s">
        <v>67</v>
      </c>
      <c r="M12" s="26" t="s">
        <v>68</v>
      </c>
      <c r="N12" s="26" t="s">
        <v>69</v>
      </c>
    </row>
    <row r="13" spans="1:14" x14ac:dyDescent="0.3">
      <c r="A13" s="19">
        <v>20</v>
      </c>
      <c r="B13" s="19">
        <v>43</v>
      </c>
      <c r="C13" s="21"/>
      <c r="E13">
        <f t="shared" si="0"/>
        <v>313.58</v>
      </c>
      <c r="F13">
        <f t="shared" si="1"/>
        <v>134.25</v>
      </c>
      <c r="H13" s="24" t="s">
        <v>70</v>
      </c>
      <c r="I13" s="24">
        <v>572458.56003199983</v>
      </c>
      <c r="J13" s="24">
        <v>1</v>
      </c>
      <c r="K13" s="24">
        <v>572458.56003199983</v>
      </c>
      <c r="L13" s="24">
        <v>20.225109303003723</v>
      </c>
      <c r="M13" s="24">
        <v>1.17139625401157E-5</v>
      </c>
      <c r="N13" s="24">
        <v>3.8888529328918917</v>
      </c>
    </row>
    <row r="14" spans="1:14" x14ac:dyDescent="0.3">
      <c r="A14" s="19">
        <v>938</v>
      </c>
      <c r="B14" s="19">
        <v>843</v>
      </c>
      <c r="C14" s="21"/>
      <c r="E14">
        <f t="shared" si="0"/>
        <v>604.42000000000007</v>
      </c>
      <c r="F14">
        <f t="shared" si="1"/>
        <v>665.75</v>
      </c>
      <c r="H14" s="24" t="s">
        <v>71</v>
      </c>
      <c r="I14" s="24">
        <v>5604261.1779359989</v>
      </c>
      <c r="J14" s="24">
        <v>198</v>
      </c>
      <c r="K14" s="24">
        <v>28304.349383515146</v>
      </c>
      <c r="L14" s="24"/>
      <c r="M14" s="24"/>
      <c r="N14" s="24"/>
    </row>
    <row r="15" spans="1:14" x14ac:dyDescent="0.3">
      <c r="A15" s="19">
        <v>28</v>
      </c>
      <c r="B15" s="19">
        <v>29</v>
      </c>
      <c r="C15" s="21"/>
      <c r="E15">
        <f t="shared" si="0"/>
        <v>305.58</v>
      </c>
      <c r="F15">
        <f t="shared" si="1"/>
        <v>148.25</v>
      </c>
      <c r="H15" s="24"/>
      <c r="I15" s="24"/>
      <c r="J15" s="24"/>
      <c r="K15" s="24"/>
      <c r="L15" s="24"/>
      <c r="M15" s="24"/>
      <c r="N15" s="24"/>
    </row>
    <row r="16" spans="1:14" ht="15" thickBot="1" x14ac:dyDescent="0.35">
      <c r="A16" s="19">
        <v>629</v>
      </c>
      <c r="B16" s="19">
        <v>70</v>
      </c>
      <c r="C16" s="21"/>
      <c r="E16">
        <f t="shared" si="0"/>
        <v>295.42</v>
      </c>
      <c r="F16">
        <f t="shared" si="1"/>
        <v>107.25</v>
      </c>
      <c r="H16" s="25" t="s">
        <v>72</v>
      </c>
      <c r="I16" s="25">
        <v>6176719.7379679987</v>
      </c>
      <c r="J16" s="25">
        <v>199</v>
      </c>
      <c r="K16" s="25"/>
      <c r="L16" s="25"/>
      <c r="M16" s="25"/>
      <c r="N16" s="25"/>
    </row>
    <row r="17" spans="1:6" x14ac:dyDescent="0.3">
      <c r="A17" s="19">
        <v>192</v>
      </c>
      <c r="B17" s="19">
        <v>53</v>
      </c>
      <c r="C17" s="21"/>
      <c r="E17">
        <f t="shared" si="0"/>
        <v>141.57999999999998</v>
      </c>
      <c r="F17">
        <f t="shared" si="1"/>
        <v>124.25</v>
      </c>
    </row>
    <row r="18" spans="1:6" x14ac:dyDescent="0.3">
      <c r="A18" s="19">
        <v>203</v>
      </c>
      <c r="B18" s="19">
        <v>10</v>
      </c>
      <c r="C18" s="21"/>
      <c r="E18">
        <f t="shared" si="0"/>
        <v>130.57999999999998</v>
      </c>
      <c r="F18">
        <f t="shared" si="1"/>
        <v>167.25</v>
      </c>
    </row>
    <row r="19" spans="1:6" x14ac:dyDescent="0.3">
      <c r="A19" s="19">
        <v>30</v>
      </c>
      <c r="B19" s="19">
        <v>23</v>
      </c>
      <c r="C19" s="21"/>
      <c r="E19">
        <f t="shared" si="0"/>
        <v>303.58</v>
      </c>
      <c r="F19">
        <f t="shared" si="1"/>
        <v>154.25</v>
      </c>
    </row>
    <row r="20" spans="1:6" x14ac:dyDescent="0.3">
      <c r="A20" s="19">
        <v>308</v>
      </c>
      <c r="B20" s="19">
        <v>73</v>
      </c>
      <c r="C20" s="21"/>
      <c r="E20">
        <f t="shared" si="0"/>
        <v>25.579999999999984</v>
      </c>
      <c r="F20">
        <f t="shared" si="1"/>
        <v>104.25</v>
      </c>
    </row>
    <row r="21" spans="1:6" x14ac:dyDescent="0.3">
      <c r="A21" s="19">
        <v>533</v>
      </c>
      <c r="B21" s="19">
        <v>217</v>
      </c>
      <c r="C21" s="21"/>
      <c r="E21">
        <f t="shared" si="0"/>
        <v>199.42000000000002</v>
      </c>
      <c r="F21">
        <f t="shared" si="1"/>
        <v>39.75</v>
      </c>
    </row>
    <row r="22" spans="1:6" x14ac:dyDescent="0.3">
      <c r="A22" s="19">
        <v>3</v>
      </c>
      <c r="B22" s="19">
        <v>7</v>
      </c>
      <c r="C22" s="21"/>
      <c r="E22">
        <f t="shared" si="0"/>
        <v>330.58</v>
      </c>
      <c r="F22">
        <f t="shared" si="1"/>
        <v>170.25</v>
      </c>
    </row>
    <row r="23" spans="1:6" x14ac:dyDescent="0.3">
      <c r="A23" s="19">
        <v>104</v>
      </c>
      <c r="B23" s="19">
        <v>48</v>
      </c>
      <c r="C23" s="21"/>
      <c r="E23">
        <f t="shared" si="0"/>
        <v>229.57999999999998</v>
      </c>
      <c r="F23">
        <f t="shared" si="1"/>
        <v>129.25</v>
      </c>
    </row>
    <row r="24" spans="1:6" x14ac:dyDescent="0.3">
      <c r="A24" s="19">
        <v>42</v>
      </c>
      <c r="B24" s="19">
        <v>17</v>
      </c>
      <c r="C24" s="21"/>
      <c r="E24">
        <f t="shared" si="0"/>
        <v>291.58</v>
      </c>
      <c r="F24">
        <f t="shared" si="1"/>
        <v>160.25</v>
      </c>
    </row>
    <row r="25" spans="1:6" x14ac:dyDescent="0.3">
      <c r="A25" s="19">
        <v>345</v>
      </c>
      <c r="B25" s="19">
        <v>501</v>
      </c>
      <c r="C25" s="21"/>
      <c r="E25">
        <f t="shared" si="0"/>
        <v>11.420000000000016</v>
      </c>
      <c r="F25">
        <f t="shared" si="1"/>
        <v>323.75</v>
      </c>
    </row>
    <row r="26" spans="1:6" x14ac:dyDescent="0.3">
      <c r="A26" s="19">
        <v>572</v>
      </c>
      <c r="B26" s="19">
        <v>259</v>
      </c>
      <c r="C26" s="21"/>
      <c r="E26">
        <f t="shared" si="0"/>
        <v>238.42000000000002</v>
      </c>
      <c r="F26">
        <f t="shared" si="1"/>
        <v>81.75</v>
      </c>
    </row>
    <row r="27" spans="1:6" x14ac:dyDescent="0.3">
      <c r="A27" s="19">
        <v>51</v>
      </c>
      <c r="B27" s="19">
        <v>24</v>
      </c>
      <c r="C27" s="21"/>
      <c r="E27">
        <f t="shared" si="0"/>
        <v>282.58</v>
      </c>
      <c r="F27">
        <f t="shared" si="1"/>
        <v>153.25</v>
      </c>
    </row>
    <row r="28" spans="1:6" x14ac:dyDescent="0.3">
      <c r="A28" s="19">
        <v>24</v>
      </c>
      <c r="B28" s="19">
        <v>26</v>
      </c>
      <c r="C28" s="21"/>
      <c r="E28">
        <f t="shared" si="0"/>
        <v>309.58</v>
      </c>
      <c r="F28">
        <f t="shared" si="1"/>
        <v>151.25</v>
      </c>
    </row>
    <row r="29" spans="1:6" x14ac:dyDescent="0.3">
      <c r="A29" s="19">
        <v>423</v>
      </c>
      <c r="B29" s="19">
        <v>368</v>
      </c>
      <c r="C29" s="21"/>
      <c r="E29">
        <f t="shared" si="0"/>
        <v>89.420000000000016</v>
      </c>
      <c r="F29">
        <f t="shared" si="1"/>
        <v>190.75</v>
      </c>
    </row>
    <row r="30" spans="1:6" x14ac:dyDescent="0.3">
      <c r="A30" s="19">
        <v>673</v>
      </c>
      <c r="B30" s="19">
        <v>199</v>
      </c>
      <c r="C30" s="21"/>
      <c r="E30">
        <f t="shared" si="0"/>
        <v>339.42</v>
      </c>
      <c r="F30">
        <f t="shared" si="1"/>
        <v>21.75</v>
      </c>
    </row>
    <row r="31" spans="1:6" x14ac:dyDescent="0.3">
      <c r="A31" s="19">
        <v>982</v>
      </c>
      <c r="B31" s="19">
        <v>672</v>
      </c>
      <c r="C31" s="21"/>
      <c r="E31">
        <f t="shared" si="0"/>
        <v>648.42000000000007</v>
      </c>
      <c r="F31">
        <f t="shared" si="1"/>
        <v>494.75</v>
      </c>
    </row>
    <row r="32" spans="1:6" x14ac:dyDescent="0.3">
      <c r="A32" s="19">
        <v>635</v>
      </c>
      <c r="B32" s="19">
        <v>254</v>
      </c>
      <c r="C32" s="21"/>
      <c r="E32">
        <f t="shared" si="0"/>
        <v>301.42</v>
      </c>
      <c r="F32">
        <f t="shared" si="1"/>
        <v>76.75</v>
      </c>
    </row>
    <row r="33" spans="1:6" x14ac:dyDescent="0.3">
      <c r="A33" s="19">
        <v>187</v>
      </c>
      <c r="B33" s="19">
        <v>65</v>
      </c>
      <c r="C33" s="21"/>
      <c r="E33">
        <f t="shared" si="0"/>
        <v>146.57999999999998</v>
      </c>
      <c r="F33">
        <f t="shared" si="1"/>
        <v>112.25</v>
      </c>
    </row>
    <row r="34" spans="1:6" x14ac:dyDescent="0.3">
      <c r="A34" s="19">
        <v>133</v>
      </c>
      <c r="B34" s="19">
        <v>421</v>
      </c>
      <c r="C34" s="21"/>
      <c r="E34">
        <f t="shared" si="0"/>
        <v>200.57999999999998</v>
      </c>
      <c r="F34">
        <f t="shared" si="1"/>
        <v>243.75</v>
      </c>
    </row>
    <row r="35" spans="1:6" x14ac:dyDescent="0.3">
      <c r="A35" s="19">
        <v>79</v>
      </c>
      <c r="B35" s="19">
        <v>31</v>
      </c>
      <c r="C35" s="21"/>
      <c r="E35">
        <f t="shared" si="0"/>
        <v>254.57999999999998</v>
      </c>
      <c r="F35">
        <f t="shared" si="1"/>
        <v>146.25</v>
      </c>
    </row>
    <row r="36" spans="1:6" x14ac:dyDescent="0.3">
      <c r="A36" s="19">
        <v>1218</v>
      </c>
      <c r="B36" s="19">
        <v>304</v>
      </c>
      <c r="C36" s="21"/>
      <c r="E36">
        <f t="shared" si="0"/>
        <v>884.42000000000007</v>
      </c>
      <c r="F36">
        <f t="shared" si="1"/>
        <v>126.75</v>
      </c>
    </row>
    <row r="37" spans="1:6" x14ac:dyDescent="0.3">
      <c r="A37" s="19">
        <v>344</v>
      </c>
      <c r="B37" s="19">
        <v>654</v>
      </c>
      <c r="C37" s="21"/>
      <c r="E37">
        <f t="shared" si="0"/>
        <v>10.420000000000016</v>
      </c>
      <c r="F37">
        <f t="shared" si="1"/>
        <v>476.75</v>
      </c>
    </row>
    <row r="38" spans="1:6" x14ac:dyDescent="0.3">
      <c r="A38" s="19">
        <v>135</v>
      </c>
      <c r="B38" s="19">
        <v>41</v>
      </c>
      <c r="C38" s="21"/>
      <c r="E38">
        <f t="shared" si="0"/>
        <v>198.57999999999998</v>
      </c>
      <c r="F38">
        <f t="shared" si="1"/>
        <v>136.25</v>
      </c>
    </row>
    <row r="39" spans="1:6" x14ac:dyDescent="0.3">
      <c r="A39" s="19">
        <v>109</v>
      </c>
      <c r="B39" s="19">
        <v>16</v>
      </c>
      <c r="C39" s="21"/>
      <c r="E39">
        <f t="shared" si="0"/>
        <v>224.57999999999998</v>
      </c>
      <c r="F39">
        <f t="shared" si="1"/>
        <v>161.25</v>
      </c>
    </row>
    <row r="40" spans="1:6" x14ac:dyDescent="0.3">
      <c r="A40" s="19">
        <v>666</v>
      </c>
      <c r="B40" s="19">
        <v>124</v>
      </c>
      <c r="C40" s="21"/>
      <c r="E40">
        <f t="shared" si="0"/>
        <v>332.42</v>
      </c>
      <c r="F40">
        <f t="shared" si="1"/>
        <v>53.25</v>
      </c>
    </row>
    <row r="41" spans="1:6" x14ac:dyDescent="0.3">
      <c r="A41" s="19">
        <v>1224</v>
      </c>
      <c r="B41" s="19">
        <v>140</v>
      </c>
      <c r="C41" s="21"/>
      <c r="E41">
        <f t="shared" si="0"/>
        <v>890.42000000000007</v>
      </c>
      <c r="F41">
        <f t="shared" si="1"/>
        <v>37.25</v>
      </c>
    </row>
    <row r="42" spans="1:6" x14ac:dyDescent="0.3">
      <c r="A42" s="19">
        <v>888</v>
      </c>
      <c r="B42" s="19">
        <v>57</v>
      </c>
      <c r="C42" s="21"/>
      <c r="E42">
        <f t="shared" si="0"/>
        <v>554.42000000000007</v>
      </c>
      <c r="F42">
        <f t="shared" si="1"/>
        <v>120.25</v>
      </c>
    </row>
    <row r="43" spans="1:6" x14ac:dyDescent="0.3">
      <c r="A43" s="19">
        <v>7</v>
      </c>
      <c r="B43" s="19">
        <v>10</v>
      </c>
      <c r="C43" s="21"/>
      <c r="E43">
        <f t="shared" si="0"/>
        <v>326.58</v>
      </c>
      <c r="F43">
        <f t="shared" si="1"/>
        <v>167.25</v>
      </c>
    </row>
    <row r="44" spans="1:6" x14ac:dyDescent="0.3">
      <c r="A44" s="19">
        <v>318</v>
      </c>
      <c r="B44" s="19">
        <v>17</v>
      </c>
      <c r="C44" s="21"/>
      <c r="E44">
        <f t="shared" si="0"/>
        <v>15.579999999999984</v>
      </c>
      <c r="F44">
        <f t="shared" si="1"/>
        <v>160.25</v>
      </c>
    </row>
    <row r="45" spans="1:6" x14ac:dyDescent="0.3">
      <c r="A45" s="19">
        <v>3</v>
      </c>
      <c r="B45" s="19">
        <v>7</v>
      </c>
      <c r="C45" s="21"/>
      <c r="E45">
        <f t="shared" si="0"/>
        <v>330.58</v>
      </c>
      <c r="F45">
        <f t="shared" si="1"/>
        <v>170.25</v>
      </c>
    </row>
    <row r="46" spans="1:6" x14ac:dyDescent="0.3">
      <c r="A46" s="19">
        <v>77</v>
      </c>
      <c r="B46" s="19">
        <v>35</v>
      </c>
      <c r="C46" s="21"/>
      <c r="E46">
        <f t="shared" si="0"/>
        <v>256.58</v>
      </c>
      <c r="F46">
        <f t="shared" si="1"/>
        <v>142.25</v>
      </c>
    </row>
    <row r="47" spans="1:6" x14ac:dyDescent="0.3">
      <c r="A47" s="19">
        <v>562</v>
      </c>
      <c r="B47" s="19">
        <v>276</v>
      </c>
      <c r="C47" s="21"/>
      <c r="E47">
        <f t="shared" si="0"/>
        <v>228.42000000000002</v>
      </c>
      <c r="F47">
        <f t="shared" si="1"/>
        <v>98.75</v>
      </c>
    </row>
    <row r="48" spans="1:6" x14ac:dyDescent="0.3">
      <c r="A48" s="19">
        <v>50</v>
      </c>
      <c r="B48" s="19">
        <v>28</v>
      </c>
      <c r="C48" s="21"/>
      <c r="E48">
        <f t="shared" si="0"/>
        <v>283.58</v>
      </c>
      <c r="F48">
        <f t="shared" si="1"/>
        <v>149.25</v>
      </c>
    </row>
    <row r="49" spans="1:6" x14ac:dyDescent="0.3">
      <c r="A49" s="19">
        <v>166</v>
      </c>
      <c r="B49" s="19">
        <v>107</v>
      </c>
      <c r="C49" s="21"/>
      <c r="E49">
        <f t="shared" si="0"/>
        <v>167.57999999999998</v>
      </c>
      <c r="F49">
        <f t="shared" si="1"/>
        <v>70.25</v>
      </c>
    </row>
    <row r="50" spans="1:6" x14ac:dyDescent="0.3">
      <c r="A50" s="19">
        <v>1090</v>
      </c>
      <c r="B50" s="19">
        <v>96</v>
      </c>
      <c r="C50" s="21"/>
      <c r="E50">
        <f t="shared" si="0"/>
        <v>756.42000000000007</v>
      </c>
      <c r="F50">
        <f t="shared" si="1"/>
        <v>81.25</v>
      </c>
    </row>
    <row r="51" spans="1:6" x14ac:dyDescent="0.3">
      <c r="A51" s="19">
        <v>10</v>
      </c>
      <c r="B51" s="19">
        <v>18</v>
      </c>
      <c r="C51" s="21"/>
      <c r="E51">
        <f t="shared" si="0"/>
        <v>323.58</v>
      </c>
      <c r="F51">
        <f t="shared" si="1"/>
        <v>159.25</v>
      </c>
    </row>
    <row r="52" spans="1:6" x14ac:dyDescent="0.3">
      <c r="A52" s="19">
        <v>5</v>
      </c>
      <c r="B52" s="19">
        <v>4</v>
      </c>
      <c r="C52" s="21"/>
      <c r="E52">
        <f t="shared" si="0"/>
        <v>328.58</v>
      </c>
      <c r="F52">
        <f t="shared" si="1"/>
        <v>173.25</v>
      </c>
    </row>
    <row r="53" spans="1:6" x14ac:dyDescent="0.3">
      <c r="A53" s="19">
        <v>14</v>
      </c>
      <c r="B53" s="19">
        <v>24</v>
      </c>
      <c r="C53" s="21"/>
      <c r="E53">
        <f t="shared" si="0"/>
        <v>319.58</v>
      </c>
      <c r="F53">
        <f t="shared" si="1"/>
        <v>153.25</v>
      </c>
    </row>
    <row r="54" spans="1:6" x14ac:dyDescent="0.3">
      <c r="A54" s="19">
        <v>315</v>
      </c>
      <c r="B54" s="19">
        <v>473</v>
      </c>
      <c r="C54" s="21"/>
      <c r="E54">
        <f t="shared" si="0"/>
        <v>18.579999999999984</v>
      </c>
      <c r="F54">
        <f t="shared" si="1"/>
        <v>295.75</v>
      </c>
    </row>
    <row r="55" spans="1:6" x14ac:dyDescent="0.3">
      <c r="A55" s="19">
        <v>21</v>
      </c>
      <c r="B55" s="19">
        <v>20</v>
      </c>
      <c r="C55" s="21"/>
      <c r="E55">
        <f t="shared" si="0"/>
        <v>312.58</v>
      </c>
      <c r="F55">
        <f t="shared" si="1"/>
        <v>157.25</v>
      </c>
    </row>
    <row r="56" spans="1:6" x14ac:dyDescent="0.3">
      <c r="A56" s="19">
        <v>709</v>
      </c>
      <c r="B56" s="19">
        <v>182</v>
      </c>
      <c r="C56" s="21"/>
      <c r="E56">
        <f t="shared" si="0"/>
        <v>375.42</v>
      </c>
      <c r="F56">
        <f t="shared" si="1"/>
        <v>4.75</v>
      </c>
    </row>
    <row r="57" spans="1:6" x14ac:dyDescent="0.3">
      <c r="A57" s="19">
        <v>1017</v>
      </c>
      <c r="B57" s="19">
        <v>500</v>
      </c>
      <c r="C57" s="21"/>
      <c r="E57">
        <f t="shared" si="0"/>
        <v>683.42000000000007</v>
      </c>
      <c r="F57">
        <f t="shared" si="1"/>
        <v>322.75</v>
      </c>
    </row>
    <row r="58" spans="1:6" x14ac:dyDescent="0.3">
      <c r="A58" s="19">
        <v>619</v>
      </c>
      <c r="B58" s="19">
        <v>260</v>
      </c>
      <c r="C58" s="21"/>
      <c r="E58">
        <f t="shared" si="0"/>
        <v>285.42</v>
      </c>
      <c r="F58">
        <f t="shared" si="1"/>
        <v>82.75</v>
      </c>
    </row>
    <row r="59" spans="1:6" x14ac:dyDescent="0.3">
      <c r="A59" s="19">
        <v>216</v>
      </c>
      <c r="B59" s="19">
        <v>57</v>
      </c>
      <c r="C59" s="21"/>
      <c r="E59">
        <f t="shared" si="0"/>
        <v>117.57999999999998</v>
      </c>
      <c r="F59">
        <f t="shared" si="1"/>
        <v>120.25</v>
      </c>
    </row>
    <row r="60" spans="1:6" x14ac:dyDescent="0.3">
      <c r="A60" s="19">
        <v>18</v>
      </c>
      <c r="B60" s="19">
        <v>5</v>
      </c>
      <c r="C60" s="21"/>
      <c r="E60">
        <f t="shared" si="0"/>
        <v>315.58</v>
      </c>
      <c r="F60">
        <f t="shared" si="1"/>
        <v>172.25</v>
      </c>
    </row>
    <row r="61" spans="1:6" x14ac:dyDescent="0.3">
      <c r="A61" s="19">
        <v>509</v>
      </c>
      <c r="B61" s="19">
        <v>65</v>
      </c>
      <c r="C61" s="21"/>
      <c r="E61">
        <f t="shared" si="0"/>
        <v>175.42000000000002</v>
      </c>
      <c r="F61">
        <f t="shared" si="1"/>
        <v>112.25</v>
      </c>
    </row>
    <row r="62" spans="1:6" x14ac:dyDescent="0.3">
      <c r="A62" s="19">
        <v>322</v>
      </c>
      <c r="B62" s="19">
        <v>50</v>
      </c>
      <c r="C62" s="21"/>
      <c r="E62">
        <f t="shared" si="0"/>
        <v>11.579999999999984</v>
      </c>
      <c r="F62">
        <f t="shared" si="1"/>
        <v>127.25</v>
      </c>
    </row>
    <row r="63" spans="1:6" x14ac:dyDescent="0.3">
      <c r="A63" s="19">
        <v>322</v>
      </c>
      <c r="B63" s="19">
        <v>50</v>
      </c>
      <c r="C63" s="21"/>
      <c r="E63">
        <f t="shared" si="0"/>
        <v>11.579999999999984</v>
      </c>
      <c r="F63">
        <f t="shared" si="1"/>
        <v>127.25</v>
      </c>
    </row>
    <row r="64" spans="1:6" x14ac:dyDescent="0.3">
      <c r="A64" s="19">
        <v>24</v>
      </c>
      <c r="B64" s="19">
        <v>8</v>
      </c>
      <c r="C64" s="21"/>
      <c r="E64">
        <f t="shared" si="0"/>
        <v>309.58</v>
      </c>
      <c r="F64">
        <f t="shared" si="1"/>
        <v>169.25</v>
      </c>
    </row>
    <row r="65" spans="1:6" x14ac:dyDescent="0.3">
      <c r="A65" s="19">
        <v>621</v>
      </c>
      <c r="B65" s="19">
        <v>414</v>
      </c>
      <c r="C65" s="21"/>
      <c r="E65">
        <f t="shared" si="0"/>
        <v>287.42</v>
      </c>
      <c r="F65">
        <f t="shared" si="1"/>
        <v>236.75</v>
      </c>
    </row>
    <row r="66" spans="1:6" x14ac:dyDescent="0.3">
      <c r="A66" s="19">
        <v>1050</v>
      </c>
      <c r="B66" s="19">
        <v>555</v>
      </c>
      <c r="C66" s="21"/>
      <c r="E66">
        <f t="shared" si="0"/>
        <v>716.42000000000007</v>
      </c>
      <c r="F66">
        <f t="shared" si="1"/>
        <v>377.75</v>
      </c>
    </row>
    <row r="67" spans="1:6" x14ac:dyDescent="0.3">
      <c r="A67" s="19">
        <v>100</v>
      </c>
      <c r="B67" s="19">
        <v>243</v>
      </c>
      <c r="C67" s="21"/>
      <c r="E67">
        <f t="shared" ref="E67:E101" si="2">ABS(A67-C$2)</f>
        <v>233.57999999999998</v>
      </c>
      <c r="F67">
        <f t="shared" ref="F67:F101" si="3">ABS(B67-D$2)</f>
        <v>65.75</v>
      </c>
    </row>
    <row r="68" spans="1:6" x14ac:dyDescent="0.3">
      <c r="A68" s="19">
        <v>6</v>
      </c>
      <c r="B68" s="19">
        <v>4</v>
      </c>
      <c r="C68" s="21"/>
      <c r="E68">
        <f t="shared" si="2"/>
        <v>327.58</v>
      </c>
      <c r="F68">
        <f t="shared" si="3"/>
        <v>173.25</v>
      </c>
    </row>
    <row r="69" spans="1:6" x14ac:dyDescent="0.3">
      <c r="A69" s="19">
        <v>79</v>
      </c>
      <c r="B69" s="19">
        <v>31</v>
      </c>
      <c r="C69" s="21"/>
      <c r="E69">
        <f t="shared" si="2"/>
        <v>254.57999999999998</v>
      </c>
      <c r="F69">
        <f t="shared" si="3"/>
        <v>146.25</v>
      </c>
    </row>
    <row r="70" spans="1:6" x14ac:dyDescent="0.3">
      <c r="A70" s="19">
        <v>44</v>
      </c>
      <c r="B70" s="19">
        <v>21</v>
      </c>
      <c r="C70" s="21"/>
      <c r="E70">
        <f t="shared" si="2"/>
        <v>289.58</v>
      </c>
      <c r="F70">
        <f t="shared" si="3"/>
        <v>156.25</v>
      </c>
    </row>
    <row r="71" spans="1:6" x14ac:dyDescent="0.3">
      <c r="A71" s="19">
        <v>270</v>
      </c>
      <c r="B71" s="19">
        <v>27</v>
      </c>
      <c r="C71" s="21"/>
      <c r="E71">
        <f t="shared" si="2"/>
        <v>63.579999999999984</v>
      </c>
      <c r="F71">
        <f t="shared" si="3"/>
        <v>150.25</v>
      </c>
    </row>
    <row r="72" spans="1:6" x14ac:dyDescent="0.3">
      <c r="A72" s="19">
        <v>173</v>
      </c>
      <c r="B72" s="19">
        <v>131</v>
      </c>
      <c r="C72" s="21"/>
      <c r="E72">
        <f t="shared" si="2"/>
        <v>160.57999999999998</v>
      </c>
      <c r="F72">
        <f t="shared" si="3"/>
        <v>46.25</v>
      </c>
    </row>
    <row r="73" spans="1:6" x14ac:dyDescent="0.3">
      <c r="A73" s="19">
        <v>57</v>
      </c>
      <c r="B73" s="19">
        <v>51</v>
      </c>
      <c r="C73" s="21"/>
      <c r="E73">
        <f t="shared" si="2"/>
        <v>276.58</v>
      </c>
      <c r="F73">
        <f t="shared" si="3"/>
        <v>126.25</v>
      </c>
    </row>
    <row r="74" spans="1:6" x14ac:dyDescent="0.3">
      <c r="A74" s="19">
        <v>587</v>
      </c>
      <c r="B74" s="19">
        <v>348</v>
      </c>
      <c r="C74" s="21"/>
      <c r="E74">
        <f t="shared" si="2"/>
        <v>253.42000000000002</v>
      </c>
      <c r="F74">
        <f t="shared" si="3"/>
        <v>170.75</v>
      </c>
    </row>
    <row r="75" spans="1:6" x14ac:dyDescent="0.3">
      <c r="A75" s="19">
        <v>783</v>
      </c>
      <c r="B75" s="19">
        <v>537</v>
      </c>
      <c r="C75" s="21"/>
      <c r="E75">
        <f t="shared" si="2"/>
        <v>449.42</v>
      </c>
      <c r="F75">
        <f t="shared" si="3"/>
        <v>359.75</v>
      </c>
    </row>
    <row r="76" spans="1:6" x14ac:dyDescent="0.3">
      <c r="A76" s="19">
        <v>931</v>
      </c>
      <c r="B76" s="19">
        <v>253</v>
      </c>
      <c r="C76" s="21"/>
      <c r="E76">
        <f t="shared" si="2"/>
        <v>597.42000000000007</v>
      </c>
      <c r="F76">
        <f t="shared" si="3"/>
        <v>75.75</v>
      </c>
    </row>
    <row r="77" spans="1:6" x14ac:dyDescent="0.3">
      <c r="A77" s="19">
        <v>437</v>
      </c>
      <c r="B77" s="19">
        <v>206</v>
      </c>
      <c r="C77" s="21"/>
      <c r="E77">
        <f t="shared" si="2"/>
        <v>103.42000000000002</v>
      </c>
      <c r="F77">
        <f t="shared" si="3"/>
        <v>28.75</v>
      </c>
    </row>
    <row r="78" spans="1:6" x14ac:dyDescent="0.3">
      <c r="A78" s="19">
        <v>27</v>
      </c>
      <c r="B78" s="19">
        <v>10</v>
      </c>
      <c r="C78" s="21"/>
      <c r="E78">
        <f t="shared" si="2"/>
        <v>306.58</v>
      </c>
      <c r="F78">
        <f t="shared" si="3"/>
        <v>167.25</v>
      </c>
    </row>
    <row r="79" spans="1:6" x14ac:dyDescent="0.3">
      <c r="A79" s="19">
        <v>370</v>
      </c>
      <c r="B79" s="19">
        <v>92</v>
      </c>
      <c r="C79" s="21"/>
      <c r="E79">
        <f t="shared" si="2"/>
        <v>36.420000000000016</v>
      </c>
      <c r="F79">
        <f t="shared" si="3"/>
        <v>85.25</v>
      </c>
    </row>
    <row r="80" spans="1:6" x14ac:dyDescent="0.3">
      <c r="A80" s="19">
        <v>112</v>
      </c>
      <c r="B80" s="19">
        <v>92</v>
      </c>
      <c r="C80" s="21"/>
      <c r="E80">
        <f t="shared" si="2"/>
        <v>221.57999999999998</v>
      </c>
      <c r="F80">
        <f t="shared" si="3"/>
        <v>85.25</v>
      </c>
    </row>
    <row r="81" spans="1:6" x14ac:dyDescent="0.3">
      <c r="A81" s="19">
        <v>519</v>
      </c>
      <c r="B81" s="19">
        <v>813</v>
      </c>
      <c r="C81" s="21"/>
      <c r="E81">
        <f t="shared" si="2"/>
        <v>185.42000000000002</v>
      </c>
      <c r="F81">
        <f t="shared" si="3"/>
        <v>635.75</v>
      </c>
    </row>
    <row r="82" spans="1:6" x14ac:dyDescent="0.3">
      <c r="A82" s="19">
        <v>239</v>
      </c>
      <c r="B82" s="19">
        <v>141</v>
      </c>
      <c r="C82" s="21"/>
      <c r="E82">
        <f t="shared" si="2"/>
        <v>94.579999999999984</v>
      </c>
      <c r="F82">
        <f t="shared" si="3"/>
        <v>36.25</v>
      </c>
    </row>
    <row r="83" spans="1:6" x14ac:dyDescent="0.3">
      <c r="A83" s="19">
        <v>398</v>
      </c>
      <c r="B83" s="19">
        <v>447</v>
      </c>
      <c r="C83" s="21"/>
      <c r="E83">
        <f t="shared" si="2"/>
        <v>64.420000000000016</v>
      </c>
      <c r="F83">
        <f t="shared" si="3"/>
        <v>269.75</v>
      </c>
    </row>
    <row r="84" spans="1:6" x14ac:dyDescent="0.3">
      <c r="A84" s="19">
        <v>17</v>
      </c>
      <c r="B84" s="19">
        <v>14</v>
      </c>
      <c r="C84" s="21"/>
      <c r="E84">
        <f t="shared" si="2"/>
        <v>316.58</v>
      </c>
      <c r="F84">
        <f t="shared" si="3"/>
        <v>163.25</v>
      </c>
    </row>
    <row r="85" spans="1:6" x14ac:dyDescent="0.3">
      <c r="A85" s="19">
        <v>293</v>
      </c>
      <c r="B85" s="19">
        <v>87</v>
      </c>
      <c r="C85" s="21"/>
      <c r="E85">
        <f t="shared" si="2"/>
        <v>40.579999999999984</v>
      </c>
      <c r="F85">
        <f t="shared" si="3"/>
        <v>90.25</v>
      </c>
    </row>
    <row r="86" spans="1:6" x14ac:dyDescent="0.3">
      <c r="A86" s="19">
        <v>303</v>
      </c>
      <c r="B86" s="19">
        <v>751</v>
      </c>
      <c r="C86" s="21"/>
      <c r="E86">
        <f t="shared" si="2"/>
        <v>30.579999999999984</v>
      </c>
      <c r="F86">
        <f t="shared" si="3"/>
        <v>573.75</v>
      </c>
    </row>
    <row r="87" spans="1:6" x14ac:dyDescent="0.3">
      <c r="A87" s="19">
        <v>54</v>
      </c>
      <c r="B87" s="19">
        <v>7</v>
      </c>
      <c r="C87" s="21"/>
      <c r="E87">
        <f t="shared" si="2"/>
        <v>279.58</v>
      </c>
      <c r="F87">
        <f t="shared" si="3"/>
        <v>170.25</v>
      </c>
    </row>
    <row r="88" spans="1:6" x14ac:dyDescent="0.3">
      <c r="A88" s="19">
        <v>262</v>
      </c>
      <c r="B88" s="19">
        <v>61</v>
      </c>
      <c r="C88" s="21"/>
      <c r="E88">
        <f t="shared" si="2"/>
        <v>71.579999999999984</v>
      </c>
      <c r="F88">
        <f t="shared" si="3"/>
        <v>116.25</v>
      </c>
    </row>
    <row r="89" spans="1:6" x14ac:dyDescent="0.3">
      <c r="A89" s="19">
        <v>1230</v>
      </c>
      <c r="B89" s="19">
        <v>396</v>
      </c>
      <c r="C89" s="21"/>
      <c r="E89">
        <f t="shared" si="2"/>
        <v>896.42000000000007</v>
      </c>
      <c r="F89">
        <f t="shared" si="3"/>
        <v>218.75</v>
      </c>
    </row>
    <row r="90" spans="1:6" x14ac:dyDescent="0.3">
      <c r="A90" s="19">
        <v>22</v>
      </c>
      <c r="B90" s="19">
        <v>14</v>
      </c>
      <c r="C90" s="21"/>
      <c r="E90">
        <f t="shared" si="2"/>
        <v>311.58</v>
      </c>
      <c r="F90">
        <f t="shared" si="3"/>
        <v>163.25</v>
      </c>
    </row>
    <row r="91" spans="1:6" x14ac:dyDescent="0.3">
      <c r="A91" s="19">
        <v>23</v>
      </c>
      <c r="B91" s="19">
        <v>15</v>
      </c>
      <c r="C91" s="21"/>
      <c r="E91">
        <f t="shared" si="2"/>
        <v>310.58</v>
      </c>
      <c r="F91">
        <f t="shared" si="3"/>
        <v>162.25</v>
      </c>
    </row>
    <row r="92" spans="1:6" x14ac:dyDescent="0.3">
      <c r="A92" s="19">
        <v>920</v>
      </c>
      <c r="B92" s="19">
        <v>168</v>
      </c>
      <c r="C92" s="21"/>
      <c r="E92">
        <f t="shared" si="2"/>
        <v>586.42000000000007</v>
      </c>
      <c r="F92">
        <f t="shared" si="3"/>
        <v>9.25</v>
      </c>
    </row>
    <row r="93" spans="1:6" x14ac:dyDescent="0.3">
      <c r="A93" s="19">
        <v>41</v>
      </c>
      <c r="B93" s="19">
        <v>17</v>
      </c>
      <c r="C93" s="21"/>
      <c r="E93">
        <f t="shared" si="2"/>
        <v>292.58</v>
      </c>
      <c r="F93">
        <f t="shared" si="3"/>
        <v>160.25</v>
      </c>
    </row>
    <row r="94" spans="1:6" x14ac:dyDescent="0.3">
      <c r="A94" s="19">
        <v>270</v>
      </c>
      <c r="B94" s="19">
        <v>27</v>
      </c>
      <c r="C94" s="21"/>
      <c r="E94">
        <f t="shared" si="2"/>
        <v>63.579999999999984</v>
      </c>
      <c r="F94">
        <f t="shared" si="3"/>
        <v>150.25</v>
      </c>
    </row>
    <row r="95" spans="1:6" x14ac:dyDescent="0.3">
      <c r="A95" s="19">
        <v>48</v>
      </c>
      <c r="B95" s="19">
        <v>68</v>
      </c>
      <c r="C95" s="21"/>
      <c r="E95">
        <f t="shared" si="2"/>
        <v>285.58</v>
      </c>
      <c r="F95">
        <f t="shared" si="3"/>
        <v>109.25</v>
      </c>
    </row>
    <row r="96" spans="1:6" x14ac:dyDescent="0.3">
      <c r="A96" s="19">
        <v>160</v>
      </c>
      <c r="B96" s="19">
        <v>369</v>
      </c>
      <c r="C96" s="21"/>
      <c r="E96">
        <f t="shared" si="2"/>
        <v>173.57999999999998</v>
      </c>
      <c r="F96">
        <f t="shared" si="3"/>
        <v>191.75</v>
      </c>
    </row>
    <row r="97" spans="1:6" x14ac:dyDescent="0.3">
      <c r="A97" s="19">
        <v>29</v>
      </c>
      <c r="B97" s="19">
        <v>30</v>
      </c>
      <c r="C97" s="21"/>
      <c r="E97">
        <f t="shared" si="2"/>
        <v>304.58</v>
      </c>
      <c r="F97">
        <f t="shared" si="3"/>
        <v>147.25</v>
      </c>
    </row>
    <row r="98" spans="1:6" x14ac:dyDescent="0.3">
      <c r="A98" s="19">
        <v>879</v>
      </c>
      <c r="B98" s="19">
        <v>797</v>
      </c>
      <c r="C98" s="21"/>
      <c r="E98">
        <f t="shared" si="2"/>
        <v>545.42000000000007</v>
      </c>
      <c r="F98">
        <f t="shared" si="3"/>
        <v>619.75</v>
      </c>
    </row>
    <row r="99" spans="1:6" x14ac:dyDescent="0.3">
      <c r="A99" s="19">
        <v>551</v>
      </c>
      <c r="B99" s="19">
        <v>792</v>
      </c>
      <c r="C99" s="21"/>
      <c r="E99">
        <f t="shared" si="2"/>
        <v>217.42000000000002</v>
      </c>
      <c r="F99">
        <f t="shared" si="3"/>
        <v>614.75</v>
      </c>
    </row>
    <row r="100" spans="1:6" x14ac:dyDescent="0.3">
      <c r="A100" s="19">
        <v>425</v>
      </c>
      <c r="B100" s="19">
        <v>292</v>
      </c>
      <c r="C100" s="21"/>
      <c r="E100">
        <f t="shared" si="2"/>
        <v>91.420000000000016</v>
      </c>
      <c r="F100">
        <f t="shared" si="3"/>
        <v>114.75</v>
      </c>
    </row>
    <row r="101" spans="1:6" x14ac:dyDescent="0.3">
      <c r="A101" s="19">
        <v>30</v>
      </c>
      <c r="B101" s="19">
        <v>9</v>
      </c>
      <c r="C101" s="21"/>
      <c r="E101">
        <f t="shared" si="2"/>
        <v>303.58</v>
      </c>
      <c r="F101">
        <f t="shared" si="3"/>
        <v>168.25</v>
      </c>
    </row>
    <row r="102" spans="1:6" x14ac:dyDescent="0.3">
      <c r="A102" s="18">
        <v>33358</v>
      </c>
      <c r="B102" s="18">
        <v>17725</v>
      </c>
      <c r="C102" s="22"/>
    </row>
    <row r="103" spans="1:6" x14ac:dyDescent="0.3">
      <c r="C103" s="23"/>
      <c r="D103" s="2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F82B-D6E0-42FE-B3DF-14311034AA54}">
  <dimension ref="A1:J101"/>
  <sheetViews>
    <sheetView tabSelected="1" workbookViewId="0">
      <selection activeCell="J4" sqref="J4"/>
    </sheetView>
  </sheetViews>
  <sheetFormatPr defaultRowHeight="14.4" x14ac:dyDescent="0.3"/>
  <cols>
    <col min="2" max="2" width="10.88671875" bestFit="1" customWidth="1"/>
    <col min="4" max="4" width="12" bestFit="1" customWidth="1"/>
    <col min="5" max="5" width="11.77734375" bestFit="1" customWidth="1"/>
    <col min="6" max="6" width="7" bestFit="1" customWidth="1"/>
    <col min="7" max="7" width="9.6640625" bestFit="1" customWidth="1"/>
  </cols>
  <sheetData>
    <row r="1" spans="1:10" x14ac:dyDescent="0.3">
      <c r="A1" s="27" t="s">
        <v>4</v>
      </c>
      <c r="B1" s="27" t="s">
        <v>74</v>
      </c>
      <c r="C1" s="27" t="s">
        <v>75</v>
      </c>
      <c r="D1" s="27" t="s">
        <v>76</v>
      </c>
      <c r="E1" s="27" t="s">
        <v>77</v>
      </c>
      <c r="F1" s="27" t="s">
        <v>78</v>
      </c>
      <c r="G1" s="27" t="s">
        <v>79</v>
      </c>
      <c r="I1" s="27" t="s">
        <v>80</v>
      </c>
      <c r="J1">
        <f>AVERAGE(A2:A101)</f>
        <v>53859.434343434346</v>
      </c>
    </row>
    <row r="2" spans="1:10" ht="16.8" x14ac:dyDescent="0.3">
      <c r="A2" s="19">
        <v>46891</v>
      </c>
      <c r="B2" s="28">
        <f>ROW()-1</f>
        <v>1</v>
      </c>
      <c r="C2">
        <f>B2/COUNT($A$2:$A$101)</f>
        <v>1.0101010101010102E-2</v>
      </c>
      <c r="D2">
        <f>(B2-1)/COUNT($A$2:$A$101)</f>
        <v>0</v>
      </c>
      <c r="E2">
        <f>IF(C2&lt;1,_xlfn.NORM.S.INV(C2),"")</f>
        <v>-2.3225745319461932</v>
      </c>
      <c r="F2">
        <f>_xlfn.NORM.DIST(A2,$J$1,$J$2,TRUE)</f>
        <v>0.35892047777933966</v>
      </c>
      <c r="G2">
        <f>ABS(F2-D2)</f>
        <v>0.35892047777933966</v>
      </c>
      <c r="I2" t="s">
        <v>81</v>
      </c>
      <c r="J2">
        <f>_xlfn.STDEV.S(A2:A101)</f>
        <v>19284.669236321341</v>
      </c>
    </row>
    <row r="3" spans="1:10" ht="16.8" x14ac:dyDescent="0.3">
      <c r="A3" s="19">
        <v>70951</v>
      </c>
      <c r="B3" s="28">
        <f t="shared" ref="B3:B66" si="0">ROW()-1</f>
        <v>2</v>
      </c>
      <c r="C3">
        <f t="shared" ref="C3:C66" si="1">B3/COUNT($A$2:$A$101)</f>
        <v>2.0202020202020204E-2</v>
      </c>
      <c r="D3">
        <f t="shared" ref="D3:D66" si="2">(B3-1)/COUNT($A$2:$A$101)</f>
        <v>1.0101010101010102E-2</v>
      </c>
      <c r="E3">
        <f t="shared" ref="E3:E66" si="3">IF(C3&lt;1,_xlfn.NORM.S.INV(C3),"")</f>
        <v>-2.0495942663939903</v>
      </c>
      <c r="F3">
        <f t="shared" ref="F3:F66" si="4">_xlfn.NORM.DIST(A3,$J$1,$J$2,TRUE)</f>
        <v>0.81226595592222184</v>
      </c>
      <c r="G3">
        <f t="shared" ref="G3:G66" si="5">ABS(F3-D3)</f>
        <v>0.80216494582121178</v>
      </c>
      <c r="I3" s="29"/>
      <c r="J3" s="29"/>
    </row>
    <row r="4" spans="1:10" ht="18" x14ac:dyDescent="0.35">
      <c r="A4" s="19">
        <v>71022</v>
      </c>
      <c r="B4" s="28">
        <f t="shared" si="0"/>
        <v>3</v>
      </c>
      <c r="C4">
        <f t="shared" si="1"/>
        <v>3.0303030303030304E-2</v>
      </c>
      <c r="D4">
        <f t="shared" si="2"/>
        <v>2.0202020202020204E-2</v>
      </c>
      <c r="E4">
        <f t="shared" si="3"/>
        <v>-1.8763585618945948</v>
      </c>
      <c r="F4">
        <f t="shared" si="4"/>
        <v>0.81325605904104037</v>
      </c>
      <c r="G4">
        <f t="shared" si="5"/>
        <v>0.79305403883902015</v>
      </c>
      <c r="I4" s="30" t="s">
        <v>47</v>
      </c>
      <c r="J4" s="30">
        <f>MAX(G2:G101)</f>
        <v>0.83695975601400652</v>
      </c>
    </row>
    <row r="5" spans="1:10" ht="16.8" x14ac:dyDescent="0.3">
      <c r="A5" s="19">
        <v>22448</v>
      </c>
      <c r="B5" s="28">
        <f t="shared" si="0"/>
        <v>4</v>
      </c>
      <c r="C5">
        <f t="shared" si="1"/>
        <v>4.0404040404040407E-2</v>
      </c>
      <c r="D5">
        <f t="shared" si="2"/>
        <v>3.0303030303030304E-2</v>
      </c>
      <c r="E5">
        <f t="shared" si="3"/>
        <v>-1.7460165226992126</v>
      </c>
      <c r="F5">
        <f t="shared" si="4"/>
        <v>5.1674579821706368E-2</v>
      </c>
      <c r="G5">
        <f t="shared" si="5"/>
        <v>2.1371549518676064E-2</v>
      </c>
    </row>
    <row r="6" spans="1:10" ht="16.8" x14ac:dyDescent="0.3">
      <c r="A6" s="19">
        <v>34824</v>
      </c>
      <c r="B6" s="28">
        <f t="shared" si="0"/>
        <v>5</v>
      </c>
      <c r="C6">
        <f t="shared" si="1"/>
        <v>5.0505050505050504E-2</v>
      </c>
      <c r="D6">
        <f t="shared" si="2"/>
        <v>4.0404040404040407E-2</v>
      </c>
      <c r="E6">
        <f t="shared" si="3"/>
        <v>-1.6399762701332181</v>
      </c>
      <c r="F6">
        <f t="shared" si="4"/>
        <v>0.16180268897895908</v>
      </c>
      <c r="G6">
        <f t="shared" si="5"/>
        <v>0.12139864857491867</v>
      </c>
    </row>
    <row r="7" spans="1:10" ht="16.8" x14ac:dyDescent="0.3">
      <c r="A7" s="19">
        <v>62499</v>
      </c>
      <c r="B7" s="28">
        <f t="shared" si="0"/>
        <v>6</v>
      </c>
      <c r="C7">
        <f t="shared" si="1"/>
        <v>6.0606060606060608E-2</v>
      </c>
      <c r="D7">
        <f t="shared" si="2"/>
        <v>5.0505050505050504E-2</v>
      </c>
      <c r="E7">
        <f t="shared" si="3"/>
        <v>-1.549705900736589</v>
      </c>
      <c r="F7">
        <f t="shared" si="4"/>
        <v>0.67292403487915065</v>
      </c>
      <c r="G7">
        <f t="shared" si="5"/>
        <v>0.62241898437410015</v>
      </c>
    </row>
    <row r="8" spans="1:10" ht="16.8" x14ac:dyDescent="0.3">
      <c r="A8" s="19">
        <v>64014</v>
      </c>
      <c r="B8" s="28">
        <f t="shared" si="0"/>
        <v>7</v>
      </c>
      <c r="C8">
        <f t="shared" si="1"/>
        <v>7.0707070707070704E-2</v>
      </c>
      <c r="D8">
        <f t="shared" si="2"/>
        <v>6.0606060606060608E-2</v>
      </c>
      <c r="E8">
        <f t="shared" si="3"/>
        <v>-1.4705452438880624</v>
      </c>
      <c r="F8">
        <f t="shared" si="4"/>
        <v>0.70075095651691188</v>
      </c>
      <c r="G8">
        <f t="shared" si="5"/>
        <v>0.64014489591085133</v>
      </c>
    </row>
    <row r="9" spans="1:10" ht="16.8" x14ac:dyDescent="0.3">
      <c r="A9" s="19">
        <v>19789</v>
      </c>
      <c r="B9" s="28">
        <f t="shared" si="0"/>
        <v>8</v>
      </c>
      <c r="C9">
        <f t="shared" si="1"/>
        <v>8.0808080808080815E-2</v>
      </c>
      <c r="D9">
        <f t="shared" si="2"/>
        <v>7.0707070707070704E-2</v>
      </c>
      <c r="E9">
        <f t="shared" si="3"/>
        <v>-1.3996566480498196</v>
      </c>
      <c r="F9">
        <f t="shared" si="4"/>
        <v>3.8638332832256976E-2</v>
      </c>
      <c r="G9">
        <f t="shared" si="5"/>
        <v>3.2068737874813728E-2</v>
      </c>
    </row>
    <row r="10" spans="1:10" ht="16.8" x14ac:dyDescent="0.3">
      <c r="A10" s="19">
        <v>64108</v>
      </c>
      <c r="B10" s="28">
        <f t="shared" si="0"/>
        <v>9</v>
      </c>
      <c r="C10">
        <f t="shared" si="1"/>
        <v>9.0909090909090912E-2</v>
      </c>
      <c r="D10">
        <f t="shared" si="2"/>
        <v>8.0808080808080815E-2</v>
      </c>
      <c r="E10">
        <f t="shared" si="3"/>
        <v>-1.3351777361189361</v>
      </c>
      <c r="F10">
        <f t="shared" si="4"/>
        <v>0.70244162713294089</v>
      </c>
      <c r="G10">
        <f t="shared" si="5"/>
        <v>0.62163354632486012</v>
      </c>
    </row>
    <row r="11" spans="1:10" ht="16.8" x14ac:dyDescent="0.3">
      <c r="A11" s="19">
        <v>82017</v>
      </c>
      <c r="B11" s="28">
        <f t="shared" si="0"/>
        <v>10</v>
      </c>
      <c r="C11">
        <f t="shared" si="1"/>
        <v>0.10101010101010101</v>
      </c>
      <c r="D11">
        <f t="shared" si="2"/>
        <v>9.0909090909090912E-2</v>
      </c>
      <c r="E11">
        <f t="shared" si="3"/>
        <v>-1.2758170414017851</v>
      </c>
      <c r="F11">
        <f t="shared" si="4"/>
        <v>0.92786884692309746</v>
      </c>
      <c r="G11">
        <f t="shared" si="5"/>
        <v>0.83695975601400652</v>
      </c>
    </row>
    <row r="12" spans="1:10" ht="16.8" x14ac:dyDescent="0.3">
      <c r="A12" s="19">
        <v>33444</v>
      </c>
      <c r="B12" s="28">
        <f t="shared" si="0"/>
        <v>11</v>
      </c>
      <c r="C12">
        <f t="shared" si="1"/>
        <v>0.1111111111111111</v>
      </c>
      <c r="D12">
        <f t="shared" si="2"/>
        <v>0.10101010101010101</v>
      </c>
      <c r="E12">
        <f t="shared" si="3"/>
        <v>-1.2206403488473501</v>
      </c>
      <c r="F12">
        <f t="shared" si="4"/>
        <v>0.14488291963447403</v>
      </c>
      <c r="G12">
        <f t="shared" si="5"/>
        <v>4.3872818624373019E-2</v>
      </c>
    </row>
    <row r="13" spans="1:10" ht="16.8" x14ac:dyDescent="0.3">
      <c r="A13" s="19">
        <v>42767</v>
      </c>
      <c r="B13" s="28">
        <f t="shared" si="0"/>
        <v>12</v>
      </c>
      <c r="C13">
        <f t="shared" si="1"/>
        <v>0.12121212121212122</v>
      </c>
      <c r="D13">
        <f t="shared" si="2"/>
        <v>0.1111111111111111</v>
      </c>
      <c r="E13">
        <f t="shared" si="3"/>
        <v>-1.168948844531482</v>
      </c>
      <c r="F13">
        <f t="shared" si="4"/>
        <v>0.28257990445330888</v>
      </c>
      <c r="G13">
        <f t="shared" si="5"/>
        <v>0.17146879334219778</v>
      </c>
    </row>
    <row r="14" spans="1:10" ht="16.8" x14ac:dyDescent="0.3">
      <c r="A14" s="19">
        <v>85844</v>
      </c>
      <c r="B14" s="28">
        <f t="shared" si="0"/>
        <v>13</v>
      </c>
      <c r="C14">
        <f t="shared" si="1"/>
        <v>0.13131313131313133</v>
      </c>
      <c r="D14">
        <f t="shared" si="2"/>
        <v>0.12121212121212122</v>
      </c>
      <c r="E14">
        <f t="shared" si="3"/>
        <v>-1.1202053547494895</v>
      </c>
      <c r="F14">
        <f t="shared" si="4"/>
        <v>0.95139663021075616</v>
      </c>
      <c r="G14">
        <f t="shared" si="5"/>
        <v>0.83018450899863494</v>
      </c>
    </row>
    <row r="15" spans="1:10" ht="16.8" x14ac:dyDescent="0.3">
      <c r="A15" s="19">
        <v>34838</v>
      </c>
      <c r="B15" s="28">
        <f t="shared" si="0"/>
        <v>14</v>
      </c>
      <c r="C15">
        <f t="shared" si="1"/>
        <v>0.14141414141414141</v>
      </c>
      <c r="D15">
        <f t="shared" si="2"/>
        <v>0.13131313131313133</v>
      </c>
      <c r="E15">
        <f t="shared" si="3"/>
        <v>-1.0739875026403316</v>
      </c>
      <c r="F15">
        <f t="shared" si="4"/>
        <v>0.16198068520294515</v>
      </c>
      <c r="G15">
        <f t="shared" si="5"/>
        <v>3.066755388981382E-2</v>
      </c>
    </row>
    <row r="16" spans="1:10" ht="16.8" x14ac:dyDescent="0.3">
      <c r="A16" s="19">
        <v>59821</v>
      </c>
      <c r="B16" s="28">
        <f t="shared" si="0"/>
        <v>15</v>
      </c>
      <c r="C16">
        <f t="shared" si="1"/>
        <v>0.15151515151515152</v>
      </c>
      <c r="D16">
        <f t="shared" si="2"/>
        <v>0.14141414141414141</v>
      </c>
      <c r="E16">
        <f t="shared" si="3"/>
        <v>-1.0299567622253687</v>
      </c>
      <c r="F16">
        <f t="shared" si="4"/>
        <v>0.621390570767415</v>
      </c>
      <c r="G16">
        <f t="shared" si="5"/>
        <v>0.47997642935327356</v>
      </c>
    </row>
    <row r="17" spans="1:7" ht="16.8" x14ac:dyDescent="0.3">
      <c r="A17" s="19">
        <v>42557</v>
      </c>
      <c r="B17" s="28">
        <f t="shared" si="0"/>
        <v>16</v>
      </c>
      <c r="C17">
        <f t="shared" si="1"/>
        <v>0.16161616161616163</v>
      </c>
      <c r="D17">
        <f t="shared" si="2"/>
        <v>0.15151515151515152</v>
      </c>
      <c r="E17">
        <f t="shared" si="3"/>
        <v>-0.98783732744852548</v>
      </c>
      <c r="F17">
        <f t="shared" si="4"/>
        <v>0.27890956423885954</v>
      </c>
      <c r="G17">
        <f t="shared" si="5"/>
        <v>0.12739441272370802</v>
      </c>
    </row>
    <row r="18" spans="1:7" ht="16.8" x14ac:dyDescent="0.3">
      <c r="A18" s="19">
        <v>45207</v>
      </c>
      <c r="B18" s="28">
        <f t="shared" si="0"/>
        <v>17</v>
      </c>
      <c r="C18">
        <f t="shared" si="1"/>
        <v>0.17171717171717171</v>
      </c>
      <c r="D18">
        <f t="shared" si="2"/>
        <v>0.16161616161616163</v>
      </c>
      <c r="E18">
        <f t="shared" si="3"/>
        <v>-0.94740127155712228</v>
      </c>
      <c r="F18">
        <f t="shared" si="4"/>
        <v>0.32683520503122954</v>
      </c>
      <c r="G18">
        <f t="shared" si="5"/>
        <v>0.16521904341506791</v>
      </c>
    </row>
    <row r="19" spans="1:7" ht="16.8" x14ac:dyDescent="0.3">
      <c r="A19" s="19">
        <v>35544</v>
      </c>
      <c r="B19" s="28">
        <f t="shared" si="0"/>
        <v>18</v>
      </c>
      <c r="C19">
        <f t="shared" si="1"/>
        <v>0.18181818181818182</v>
      </c>
      <c r="D19">
        <f t="shared" si="2"/>
        <v>0.17171717171717171</v>
      </c>
      <c r="E19">
        <f t="shared" si="3"/>
        <v>-0.9084578685373853</v>
      </c>
      <c r="F19">
        <f t="shared" si="4"/>
        <v>0.17112202401066512</v>
      </c>
      <c r="G19">
        <f t="shared" si="5"/>
        <v>5.9514770650659354E-4</v>
      </c>
    </row>
    <row r="20" spans="1:7" ht="16.8" x14ac:dyDescent="0.3">
      <c r="A20" s="19">
        <v>49544</v>
      </c>
      <c r="B20" s="28">
        <f t="shared" si="0"/>
        <v>19</v>
      </c>
      <c r="C20">
        <f t="shared" si="1"/>
        <v>0.19191919191919191</v>
      </c>
      <c r="D20">
        <f t="shared" si="2"/>
        <v>0.18181818181818182</v>
      </c>
      <c r="E20">
        <f t="shared" si="3"/>
        <v>-0.8708457453650692</v>
      </c>
      <c r="F20">
        <f t="shared" si="4"/>
        <v>0.41146604088451499</v>
      </c>
      <c r="G20">
        <f t="shared" si="5"/>
        <v>0.22964785906633317</v>
      </c>
    </row>
    <row r="21" spans="1:7" ht="16.8" x14ac:dyDescent="0.3">
      <c r="A21" s="19">
        <v>71107</v>
      </c>
      <c r="B21" s="28">
        <f t="shared" si="0"/>
        <v>20</v>
      </c>
      <c r="C21">
        <f t="shared" si="1"/>
        <v>0.20202020202020202</v>
      </c>
      <c r="D21">
        <f t="shared" si="2"/>
        <v>0.19191919191919191</v>
      </c>
      <c r="E21">
        <f t="shared" si="3"/>
        <v>-0.83442700653190349</v>
      </c>
      <c r="F21">
        <f t="shared" si="4"/>
        <v>0.81443713379658567</v>
      </c>
      <c r="G21">
        <f t="shared" si="5"/>
        <v>0.62251794187739373</v>
      </c>
    </row>
    <row r="22" spans="1:7" ht="16.8" x14ac:dyDescent="0.3">
      <c r="A22" s="19">
        <v>31859</v>
      </c>
      <c r="B22" s="28">
        <f t="shared" si="0"/>
        <v>21</v>
      </c>
      <c r="C22">
        <f t="shared" si="1"/>
        <v>0.21212121212121213</v>
      </c>
      <c r="D22">
        <f t="shared" si="2"/>
        <v>0.20202020202020202</v>
      </c>
      <c r="E22">
        <f t="shared" si="3"/>
        <v>-0.79908276213517815</v>
      </c>
      <c r="F22">
        <f t="shared" si="4"/>
        <v>0.1269713605890275</v>
      </c>
      <c r="G22">
        <f t="shared" si="5"/>
        <v>7.5048841431174518E-2</v>
      </c>
    </row>
    <row r="23" spans="1:7" ht="16.8" x14ac:dyDescent="0.3">
      <c r="A23" s="19">
        <v>62637</v>
      </c>
      <c r="B23" s="28">
        <f t="shared" si="0"/>
        <v>22</v>
      </c>
      <c r="C23">
        <f t="shared" si="1"/>
        <v>0.22222222222222221</v>
      </c>
      <c r="D23">
        <f t="shared" si="2"/>
        <v>0.21212121212121213</v>
      </c>
      <c r="E23">
        <f t="shared" si="3"/>
        <v>-0.76470967378638721</v>
      </c>
      <c r="F23">
        <f t="shared" si="4"/>
        <v>0.67550210444508996</v>
      </c>
      <c r="G23">
        <f t="shared" si="5"/>
        <v>0.4633808923238778</v>
      </c>
    </row>
    <row r="24" spans="1:7" ht="16.8" x14ac:dyDescent="0.3">
      <c r="A24" s="19">
        <v>52190</v>
      </c>
      <c r="B24" s="28">
        <f t="shared" si="0"/>
        <v>23</v>
      </c>
      <c r="C24">
        <f t="shared" si="1"/>
        <v>0.23232323232323232</v>
      </c>
      <c r="D24">
        <f t="shared" si="2"/>
        <v>0.22222222222222221</v>
      </c>
      <c r="E24">
        <f t="shared" si="3"/>
        <v>-0.73121725112971703</v>
      </c>
      <c r="F24">
        <f t="shared" si="4"/>
        <v>0.46550746995168896</v>
      </c>
      <c r="G24">
        <f t="shared" si="5"/>
        <v>0.24328524772946675</v>
      </c>
    </row>
    <row r="25" spans="1:7" ht="16.8" x14ac:dyDescent="0.3">
      <c r="A25" s="19">
        <v>87305</v>
      </c>
      <c r="B25" s="28">
        <f t="shared" si="0"/>
        <v>24</v>
      </c>
      <c r="C25">
        <f t="shared" si="1"/>
        <v>0.24242424242424243</v>
      </c>
      <c r="D25">
        <f t="shared" si="2"/>
        <v>0.23232323232323232</v>
      </c>
      <c r="E25">
        <f t="shared" si="3"/>
        <v>-0.69852571034506028</v>
      </c>
      <c r="F25">
        <f t="shared" si="4"/>
        <v>0.9585683193907979</v>
      </c>
      <c r="G25">
        <f t="shared" si="5"/>
        <v>0.72624508706756563</v>
      </c>
    </row>
    <row r="26" spans="1:7" ht="16.8" x14ac:dyDescent="0.3">
      <c r="A26" s="19">
        <v>78075</v>
      </c>
      <c r="B26" s="28">
        <f t="shared" si="0"/>
        <v>25</v>
      </c>
      <c r="C26">
        <f t="shared" si="1"/>
        <v>0.25252525252525254</v>
      </c>
      <c r="D26">
        <f t="shared" si="2"/>
        <v>0.24242424242424243</v>
      </c>
      <c r="E26">
        <f t="shared" si="3"/>
        <v>-0.66656425919790407</v>
      </c>
      <c r="F26">
        <f t="shared" si="4"/>
        <v>0.89538580070569895</v>
      </c>
      <c r="G26">
        <f t="shared" si="5"/>
        <v>0.65296155828145652</v>
      </c>
    </row>
    <row r="27" spans="1:7" ht="16.8" x14ac:dyDescent="0.3">
      <c r="A27" s="19">
        <v>50523</v>
      </c>
      <c r="B27" s="28">
        <f t="shared" si="0"/>
        <v>26</v>
      </c>
      <c r="C27">
        <f t="shared" si="1"/>
        <v>0.26262626262626265</v>
      </c>
      <c r="D27">
        <f t="shared" si="2"/>
        <v>0.25252525252525254</v>
      </c>
      <c r="E27">
        <f t="shared" si="3"/>
        <v>-0.63526970987659626</v>
      </c>
      <c r="F27">
        <f t="shared" si="4"/>
        <v>0.43132191165501954</v>
      </c>
      <c r="G27">
        <f t="shared" si="5"/>
        <v>0.178796659129767</v>
      </c>
    </row>
    <row r="28" spans="1:7" ht="16.8" x14ac:dyDescent="0.3">
      <c r="A28" s="19">
        <v>11012</v>
      </c>
      <c r="B28" s="28">
        <f t="shared" si="0"/>
        <v>27</v>
      </c>
      <c r="C28">
        <f t="shared" si="1"/>
        <v>0.27272727272727271</v>
      </c>
      <c r="D28">
        <f t="shared" si="2"/>
        <v>0.26262626262626265</v>
      </c>
      <c r="E28">
        <f t="shared" si="3"/>
        <v>-0.60458534658323715</v>
      </c>
      <c r="F28">
        <f t="shared" si="4"/>
        <v>1.3147086774198652E-2</v>
      </c>
      <c r="G28">
        <f t="shared" si="5"/>
        <v>0.249479175852064</v>
      </c>
    </row>
    <row r="29" spans="1:7" ht="16.8" x14ac:dyDescent="0.3">
      <c r="A29" s="19">
        <v>63943</v>
      </c>
      <c r="B29" s="28">
        <f t="shared" si="0"/>
        <v>28</v>
      </c>
      <c r="C29">
        <f t="shared" si="1"/>
        <v>0.28282828282828282</v>
      </c>
      <c r="D29">
        <f t="shared" si="2"/>
        <v>0.27272727272727271</v>
      </c>
      <c r="E29">
        <f t="shared" si="3"/>
        <v>-0.57445999316935792</v>
      </c>
      <c r="F29">
        <f t="shared" si="4"/>
        <v>0.69947107875629311</v>
      </c>
      <c r="G29">
        <f t="shared" si="5"/>
        <v>0.4267438060290204</v>
      </c>
    </row>
    <row r="30" spans="1:7" ht="16.8" x14ac:dyDescent="0.3">
      <c r="A30" s="19">
        <v>55686</v>
      </c>
      <c r="B30" s="28">
        <f t="shared" si="0"/>
        <v>29</v>
      </c>
      <c r="C30">
        <f t="shared" si="1"/>
        <v>0.29292929292929293</v>
      </c>
      <c r="D30">
        <f t="shared" si="2"/>
        <v>0.28282828282828282</v>
      </c>
      <c r="E30">
        <f t="shared" si="3"/>
        <v>-0.5448472393466709</v>
      </c>
      <c r="F30">
        <f t="shared" si="4"/>
        <v>0.5377297733888331</v>
      </c>
      <c r="G30">
        <f t="shared" si="5"/>
        <v>0.25490149056055028</v>
      </c>
    </row>
    <row r="31" spans="1:7" ht="16.8" x14ac:dyDescent="0.3">
      <c r="A31" s="19">
        <v>90687</v>
      </c>
      <c r="B31" s="28">
        <f t="shared" si="0"/>
        <v>30</v>
      </c>
      <c r="C31">
        <f t="shared" si="1"/>
        <v>0.30303030303030304</v>
      </c>
      <c r="D31">
        <f t="shared" si="2"/>
        <v>0.29292929292929293</v>
      </c>
      <c r="E31">
        <f t="shared" si="3"/>
        <v>-0.51570479369303845</v>
      </c>
      <c r="F31">
        <f t="shared" si="4"/>
        <v>0.97191284801822952</v>
      </c>
      <c r="G31">
        <f t="shared" si="5"/>
        <v>0.6789835550889366</v>
      </c>
    </row>
    <row r="32" spans="1:7" ht="16.8" x14ac:dyDescent="0.3">
      <c r="A32" s="19">
        <v>70924</v>
      </c>
      <c r="B32" s="28">
        <f t="shared" si="0"/>
        <v>31</v>
      </c>
      <c r="C32">
        <f t="shared" si="1"/>
        <v>0.31313131313131315</v>
      </c>
      <c r="D32">
        <f t="shared" si="2"/>
        <v>0.30303030303030304</v>
      </c>
      <c r="E32">
        <f t="shared" si="3"/>
        <v>-0.48699393885129044</v>
      </c>
      <c r="F32">
        <f t="shared" si="4"/>
        <v>0.81188858840433098</v>
      </c>
      <c r="G32">
        <f t="shared" si="5"/>
        <v>0.508858285374028</v>
      </c>
    </row>
    <row r="33" spans="1:7" ht="16.8" x14ac:dyDescent="0.3">
      <c r="A33" s="19"/>
      <c r="B33" s="28">
        <f t="shared" si="0"/>
        <v>32</v>
      </c>
      <c r="C33">
        <f t="shared" si="1"/>
        <v>0.32323232323232326</v>
      </c>
      <c r="D33">
        <f t="shared" si="2"/>
        <v>0.31313131313131315</v>
      </c>
      <c r="E33">
        <f t="shared" si="3"/>
        <v>-0.45867906969409361</v>
      </c>
      <c r="F33">
        <f t="shared" si="4"/>
        <v>2.6121926870372632E-3</v>
      </c>
      <c r="G33">
        <f t="shared" si="5"/>
        <v>0.31051912044427588</v>
      </c>
    </row>
    <row r="34" spans="1:7" ht="16.8" x14ac:dyDescent="0.3">
      <c r="A34" s="19">
        <v>74716</v>
      </c>
      <c r="B34" s="28">
        <f t="shared" si="0"/>
        <v>33</v>
      </c>
      <c r="C34">
        <f t="shared" si="1"/>
        <v>0.33333333333333331</v>
      </c>
      <c r="D34">
        <f t="shared" si="2"/>
        <v>0.32323232323232326</v>
      </c>
      <c r="E34">
        <f t="shared" si="3"/>
        <v>-0.43072729929545767</v>
      </c>
      <c r="F34">
        <f t="shared" si="4"/>
        <v>0.8602648775080044</v>
      </c>
      <c r="G34">
        <f t="shared" si="5"/>
        <v>0.53703255427568108</v>
      </c>
    </row>
    <row r="35" spans="1:7" ht="16.8" x14ac:dyDescent="0.3">
      <c r="A35" s="19">
        <v>33316</v>
      </c>
      <c r="B35" s="28">
        <f t="shared" si="0"/>
        <v>34</v>
      </c>
      <c r="C35">
        <f t="shared" si="1"/>
        <v>0.34343434343434343</v>
      </c>
      <c r="D35">
        <f t="shared" si="2"/>
        <v>0.33333333333333331</v>
      </c>
      <c r="E35">
        <f t="shared" si="3"/>
        <v>-0.40310812065628565</v>
      </c>
      <c r="F35">
        <f t="shared" si="4"/>
        <v>0.14337624012852093</v>
      </c>
      <c r="G35">
        <f t="shared" si="5"/>
        <v>0.18995709320481238</v>
      </c>
    </row>
    <row r="36" spans="1:7" ht="16.8" x14ac:dyDescent="0.3">
      <c r="A36" s="19">
        <v>70643</v>
      </c>
      <c r="B36" s="28">
        <f t="shared" si="0"/>
        <v>35</v>
      </c>
      <c r="C36">
        <f t="shared" si="1"/>
        <v>0.35353535353535354</v>
      </c>
      <c r="D36">
        <f t="shared" si="2"/>
        <v>0.34343434343434343</v>
      </c>
      <c r="E36">
        <f t="shared" si="3"/>
        <v>-0.37579311452537978</v>
      </c>
      <c r="F36">
        <f t="shared" si="4"/>
        <v>0.80793343231468018</v>
      </c>
      <c r="G36">
        <f t="shared" si="5"/>
        <v>0.46449908888033675</v>
      </c>
    </row>
    <row r="37" spans="1:7" ht="16.8" x14ac:dyDescent="0.3">
      <c r="A37" s="19">
        <v>70792</v>
      </c>
      <c r="B37" s="28">
        <f t="shared" si="0"/>
        <v>36</v>
      </c>
      <c r="C37">
        <f t="shared" si="1"/>
        <v>0.36363636363636365</v>
      </c>
      <c r="D37">
        <f t="shared" si="2"/>
        <v>0.35353535353535354</v>
      </c>
      <c r="E37">
        <f t="shared" si="3"/>
        <v>-0.34875569551704472</v>
      </c>
      <c r="F37">
        <f t="shared" si="4"/>
        <v>0.81003694945033389</v>
      </c>
      <c r="G37">
        <f t="shared" si="5"/>
        <v>0.45650159591498035</v>
      </c>
    </row>
    <row r="38" spans="1:7" ht="16.8" x14ac:dyDescent="0.3">
      <c r="A38" s="19">
        <v>34074</v>
      </c>
      <c r="B38" s="28">
        <f t="shared" si="0"/>
        <v>37</v>
      </c>
      <c r="C38">
        <f t="shared" si="1"/>
        <v>0.37373737373737376</v>
      </c>
      <c r="D38">
        <f t="shared" si="2"/>
        <v>0.36363636363636365</v>
      </c>
      <c r="E38">
        <f t="shared" si="3"/>
        <v>-0.32197089018198838</v>
      </c>
      <c r="F38">
        <f t="shared" si="4"/>
        <v>0.15245356839894522</v>
      </c>
      <c r="G38">
        <f t="shared" si="5"/>
        <v>0.21118279523741842</v>
      </c>
    </row>
    <row r="39" spans="1:7" ht="16.8" x14ac:dyDescent="0.3">
      <c r="A39" s="19">
        <v>54414</v>
      </c>
      <c r="B39" s="28">
        <f t="shared" si="0"/>
        <v>38</v>
      </c>
      <c r="C39">
        <f t="shared" si="1"/>
        <v>0.38383838383838381</v>
      </c>
      <c r="D39">
        <f t="shared" si="2"/>
        <v>0.37373737373737376</v>
      </c>
      <c r="E39">
        <f t="shared" si="3"/>
        <v>-0.29541514183523809</v>
      </c>
      <c r="F39">
        <f t="shared" si="4"/>
        <v>0.51147072818373618</v>
      </c>
      <c r="G39">
        <f t="shared" si="5"/>
        <v>0.13773335444636242</v>
      </c>
    </row>
    <row r="40" spans="1:7" ht="16.8" x14ac:dyDescent="0.3">
      <c r="A40" s="19">
        <v>69063</v>
      </c>
      <c r="B40" s="28">
        <f t="shared" si="0"/>
        <v>39</v>
      </c>
      <c r="C40">
        <f t="shared" si="1"/>
        <v>0.39393939393939392</v>
      </c>
      <c r="D40">
        <f t="shared" si="2"/>
        <v>0.38383838383838381</v>
      </c>
      <c r="E40">
        <f t="shared" si="3"/>
        <v>-0.26906613785431421</v>
      </c>
      <c r="F40">
        <f t="shared" si="4"/>
        <v>0.78476152575516611</v>
      </c>
      <c r="G40">
        <f t="shared" si="5"/>
        <v>0.4009231419167823</v>
      </c>
    </row>
    <row r="41" spans="1:7" ht="16.8" x14ac:dyDescent="0.3">
      <c r="A41" s="19">
        <v>71819</v>
      </c>
      <c r="B41" s="28">
        <f t="shared" si="0"/>
        <v>40</v>
      </c>
      <c r="C41">
        <f t="shared" si="1"/>
        <v>0.40404040404040403</v>
      </c>
      <c r="D41">
        <f t="shared" si="2"/>
        <v>0.39393939393939392</v>
      </c>
      <c r="E41">
        <f t="shared" si="3"/>
        <v>-0.24290265588608947</v>
      </c>
      <c r="F41">
        <f t="shared" si="4"/>
        <v>0.82414748987099085</v>
      </c>
      <c r="G41">
        <f t="shared" si="5"/>
        <v>0.43020809593159692</v>
      </c>
    </row>
    <row r="42" spans="1:7" ht="16.8" x14ac:dyDescent="0.3">
      <c r="A42" s="19">
        <v>61010</v>
      </c>
      <c r="B42" s="28">
        <f t="shared" si="0"/>
        <v>41</v>
      </c>
      <c r="C42">
        <f t="shared" si="1"/>
        <v>0.41414141414141414</v>
      </c>
      <c r="D42">
        <f t="shared" si="2"/>
        <v>0.40404040404040403</v>
      </c>
      <c r="E42">
        <f t="shared" si="3"/>
        <v>-0.21690442598171081</v>
      </c>
      <c r="F42">
        <f t="shared" si="4"/>
        <v>0.64460308577590186</v>
      </c>
      <c r="G42">
        <f t="shared" si="5"/>
        <v>0.24056268173549783</v>
      </c>
    </row>
    <row r="43" spans="1:7" ht="16.8" x14ac:dyDescent="0.3">
      <c r="A43" s="19">
        <v>33456</v>
      </c>
      <c r="B43" s="28">
        <f t="shared" si="0"/>
        <v>42</v>
      </c>
      <c r="C43">
        <f t="shared" si="1"/>
        <v>0.42424242424242425</v>
      </c>
      <c r="D43">
        <f t="shared" si="2"/>
        <v>0.41414141414141414</v>
      </c>
      <c r="E43">
        <f t="shared" si="3"/>
        <v>-0.1910520061461741</v>
      </c>
      <c r="F43">
        <f t="shared" si="4"/>
        <v>0.14502471540411269</v>
      </c>
      <c r="G43">
        <f t="shared" si="5"/>
        <v>0.26911669873730149</v>
      </c>
    </row>
    <row r="44" spans="1:7" ht="16.8" x14ac:dyDescent="0.3">
      <c r="A44" s="19">
        <v>54730</v>
      </c>
      <c r="B44" s="28">
        <f t="shared" si="0"/>
        <v>43</v>
      </c>
      <c r="C44">
        <f t="shared" si="1"/>
        <v>0.43434343434343436</v>
      </c>
      <c r="D44">
        <f t="shared" si="2"/>
        <v>0.42424242424242425</v>
      </c>
      <c r="E44">
        <f t="shared" si="3"/>
        <v>-0.16532666916589683</v>
      </c>
      <c r="F44">
        <f t="shared" si="4"/>
        <v>0.51800329157370095</v>
      </c>
      <c r="G44">
        <f t="shared" si="5"/>
        <v>9.3760867331276698E-2</v>
      </c>
    </row>
    <row r="45" spans="1:7" ht="16.8" x14ac:dyDescent="0.3">
      <c r="A45" s="19">
        <v>29938</v>
      </c>
      <c r="B45" s="28">
        <f t="shared" si="0"/>
        <v>44</v>
      </c>
      <c r="C45">
        <f t="shared" si="1"/>
        <v>0.44444444444444442</v>
      </c>
      <c r="D45">
        <f t="shared" si="2"/>
        <v>0.43434343434343436</v>
      </c>
      <c r="E45">
        <f t="shared" si="3"/>
        <v>-0.13971029888186212</v>
      </c>
      <c r="F45">
        <f t="shared" si="4"/>
        <v>0.10740673757690049</v>
      </c>
      <c r="G45">
        <f t="shared" si="5"/>
        <v>0.32693669676653386</v>
      </c>
    </row>
    <row r="46" spans="1:7" ht="16.8" x14ac:dyDescent="0.3">
      <c r="A46" s="19">
        <v>38097</v>
      </c>
      <c r="B46" s="28">
        <f t="shared" si="0"/>
        <v>45</v>
      </c>
      <c r="C46">
        <f t="shared" si="1"/>
        <v>0.45454545454545453</v>
      </c>
      <c r="D46">
        <f t="shared" si="2"/>
        <v>0.44444444444444442</v>
      </c>
      <c r="E46">
        <f t="shared" si="3"/>
        <v>-0.11418529432142839</v>
      </c>
      <c r="F46">
        <f t="shared" si="4"/>
        <v>0.20686259179297745</v>
      </c>
      <c r="G46">
        <f t="shared" si="5"/>
        <v>0.23758185265146697</v>
      </c>
    </row>
    <row r="47" spans="1:7" ht="16.8" x14ac:dyDescent="0.3">
      <c r="A47" s="19">
        <v>65846</v>
      </c>
      <c r="B47" s="28">
        <f t="shared" si="0"/>
        <v>46</v>
      </c>
      <c r="C47">
        <f t="shared" si="1"/>
        <v>0.46464646464646464</v>
      </c>
      <c r="D47">
        <f t="shared" si="2"/>
        <v>0.45454545454545453</v>
      </c>
      <c r="E47">
        <f t="shared" si="3"/>
        <v>-8.8734480299415192E-2</v>
      </c>
      <c r="F47">
        <f t="shared" si="4"/>
        <v>0.73288415731224077</v>
      </c>
      <c r="G47">
        <f t="shared" si="5"/>
        <v>0.27833870276678624</v>
      </c>
    </row>
    <row r="48" spans="1:7" ht="16.8" x14ac:dyDescent="0.3">
      <c r="A48" s="19">
        <v>34213</v>
      </c>
      <c r="B48" s="28">
        <f t="shared" si="0"/>
        <v>47</v>
      </c>
      <c r="C48">
        <f t="shared" si="1"/>
        <v>0.47474747474747475</v>
      </c>
      <c r="D48">
        <f t="shared" si="2"/>
        <v>0.46464646464646464</v>
      </c>
      <c r="E48">
        <f t="shared" si="3"/>
        <v>-6.3341023256858697E-2</v>
      </c>
      <c r="F48">
        <f t="shared" si="4"/>
        <v>0.15415864817163974</v>
      </c>
      <c r="G48">
        <f t="shared" si="5"/>
        <v>0.31048781647482493</v>
      </c>
    </row>
    <row r="49" spans="1:7" ht="16.8" x14ac:dyDescent="0.3">
      <c r="A49" s="19">
        <v>49669</v>
      </c>
      <c r="B49" s="28">
        <f t="shared" si="0"/>
        <v>48</v>
      </c>
      <c r="C49">
        <f t="shared" si="1"/>
        <v>0.48484848484848486</v>
      </c>
      <c r="D49">
        <f t="shared" si="2"/>
        <v>0.47474747474747475</v>
      </c>
      <c r="E49">
        <f t="shared" si="3"/>
        <v>-3.7988351230282213E-2</v>
      </c>
      <c r="F49">
        <f t="shared" si="4"/>
        <v>0.41398978957523186</v>
      </c>
      <c r="G49">
        <f t="shared" si="5"/>
        <v>6.0757685172242892E-2</v>
      </c>
    </row>
    <row r="50" spans="1:7" ht="16.8" x14ac:dyDescent="0.3">
      <c r="A50" s="19">
        <v>66303</v>
      </c>
      <c r="B50" s="28">
        <f t="shared" si="0"/>
        <v>49</v>
      </c>
      <c r="C50">
        <f t="shared" si="1"/>
        <v>0.49494949494949497</v>
      </c>
      <c r="D50">
        <f t="shared" si="2"/>
        <v>0.48484848484848486</v>
      </c>
      <c r="E50">
        <f t="shared" si="3"/>
        <v>-1.266007694031401E-2</v>
      </c>
      <c r="F50">
        <f t="shared" si="4"/>
        <v>0.74061963699929978</v>
      </c>
      <c r="G50">
        <f t="shared" si="5"/>
        <v>0.25577115215081492</v>
      </c>
    </row>
    <row r="51" spans="1:7" ht="16.8" x14ac:dyDescent="0.3">
      <c r="A51" s="19">
        <v>25271</v>
      </c>
      <c r="B51" s="28">
        <f t="shared" si="0"/>
        <v>50</v>
      </c>
      <c r="C51">
        <f t="shared" si="1"/>
        <v>0.50505050505050508</v>
      </c>
      <c r="D51">
        <f t="shared" si="2"/>
        <v>0.49494949494949497</v>
      </c>
      <c r="E51">
        <f t="shared" si="3"/>
        <v>1.266007694031415E-2</v>
      </c>
      <c r="F51">
        <f t="shared" si="4"/>
        <v>6.9111151038409591E-2</v>
      </c>
      <c r="G51">
        <f t="shared" si="5"/>
        <v>0.42583834391108538</v>
      </c>
    </row>
    <row r="52" spans="1:7" ht="16.8" x14ac:dyDescent="0.3">
      <c r="A52" s="19">
        <v>24645</v>
      </c>
      <c r="B52" s="28">
        <f t="shared" si="0"/>
        <v>51</v>
      </c>
      <c r="C52">
        <f t="shared" si="1"/>
        <v>0.51515151515151514</v>
      </c>
      <c r="D52">
        <f t="shared" si="2"/>
        <v>0.50505050505050508</v>
      </c>
      <c r="E52">
        <f t="shared" si="3"/>
        <v>3.7988351230282213E-2</v>
      </c>
      <c r="F52">
        <f t="shared" si="4"/>
        <v>6.4898281280548586E-2</v>
      </c>
      <c r="G52">
        <f t="shared" si="5"/>
        <v>0.4401522237699565</v>
      </c>
    </row>
    <row r="53" spans="1:7" ht="16.8" x14ac:dyDescent="0.3">
      <c r="A53" s="19">
        <v>30351</v>
      </c>
      <c r="B53" s="28">
        <f t="shared" si="0"/>
        <v>52</v>
      </c>
      <c r="C53">
        <f t="shared" si="1"/>
        <v>0.5252525252525253</v>
      </c>
      <c r="D53">
        <f t="shared" si="2"/>
        <v>0.51515151515151514</v>
      </c>
      <c r="E53">
        <f t="shared" si="3"/>
        <v>6.3341023256858836E-2</v>
      </c>
      <c r="F53">
        <f t="shared" si="4"/>
        <v>0.11141793817025644</v>
      </c>
      <c r="G53">
        <f t="shared" si="5"/>
        <v>0.40373357698125867</v>
      </c>
    </row>
    <row r="54" spans="1:7" ht="16.8" x14ac:dyDescent="0.3">
      <c r="A54" s="19">
        <v>72354</v>
      </c>
      <c r="B54" s="28">
        <f t="shared" si="0"/>
        <v>53</v>
      </c>
      <c r="C54">
        <f t="shared" si="1"/>
        <v>0.53535353535353536</v>
      </c>
      <c r="D54">
        <f t="shared" si="2"/>
        <v>0.5252525252525253</v>
      </c>
      <c r="E54">
        <f t="shared" si="3"/>
        <v>8.8734480299415192E-2</v>
      </c>
      <c r="F54">
        <f t="shared" si="4"/>
        <v>0.83122804436734077</v>
      </c>
      <c r="G54">
        <f t="shared" si="5"/>
        <v>0.30597551911481546</v>
      </c>
    </row>
    <row r="55" spans="1:7" ht="16.8" x14ac:dyDescent="0.3">
      <c r="A55" s="19">
        <v>41473</v>
      </c>
      <c r="B55" s="28">
        <f t="shared" si="0"/>
        <v>54</v>
      </c>
      <c r="C55">
        <f t="shared" si="1"/>
        <v>0.54545454545454541</v>
      </c>
      <c r="D55">
        <f t="shared" si="2"/>
        <v>0.53535353535353536</v>
      </c>
      <c r="E55">
        <f t="shared" si="3"/>
        <v>0.11418529432142825</v>
      </c>
      <c r="F55">
        <f t="shared" si="4"/>
        <v>0.26034103680806753</v>
      </c>
      <c r="G55">
        <f t="shared" si="5"/>
        <v>0.27501249854546783</v>
      </c>
    </row>
    <row r="56" spans="1:7" ht="16.8" x14ac:dyDescent="0.3">
      <c r="A56" s="19">
        <v>61223</v>
      </c>
      <c r="B56" s="28">
        <f t="shared" si="0"/>
        <v>55</v>
      </c>
      <c r="C56">
        <f t="shared" si="1"/>
        <v>0.55555555555555558</v>
      </c>
      <c r="D56">
        <f t="shared" si="2"/>
        <v>0.54545454545454541</v>
      </c>
      <c r="E56">
        <f t="shared" si="3"/>
        <v>0.13971029888186212</v>
      </c>
      <c r="F56">
        <f t="shared" si="4"/>
        <v>0.64870819853288653</v>
      </c>
      <c r="G56">
        <f t="shared" si="5"/>
        <v>0.10325365307834111</v>
      </c>
    </row>
    <row r="57" spans="1:7" ht="16.8" x14ac:dyDescent="0.3">
      <c r="A57" s="19">
        <v>77870</v>
      </c>
      <c r="B57" s="28">
        <f t="shared" si="0"/>
        <v>56</v>
      </c>
      <c r="C57">
        <f t="shared" si="1"/>
        <v>0.56565656565656564</v>
      </c>
      <c r="D57">
        <f t="shared" si="2"/>
        <v>0.55555555555555558</v>
      </c>
      <c r="E57">
        <f t="shared" si="3"/>
        <v>0.16532666916589683</v>
      </c>
      <c r="F57">
        <f t="shared" si="4"/>
        <v>0.89344510793144294</v>
      </c>
      <c r="G57">
        <f t="shared" si="5"/>
        <v>0.33788955237588736</v>
      </c>
    </row>
    <row r="58" spans="1:7" ht="16.8" x14ac:dyDescent="0.3">
      <c r="A58" s="19">
        <v>72679</v>
      </c>
      <c r="B58" s="28">
        <f t="shared" si="0"/>
        <v>57</v>
      </c>
      <c r="C58">
        <f t="shared" si="1"/>
        <v>0.5757575757575758</v>
      </c>
      <c r="D58">
        <f t="shared" si="2"/>
        <v>0.56565656565656564</v>
      </c>
      <c r="E58">
        <f t="shared" si="3"/>
        <v>0.19105200614617426</v>
      </c>
      <c r="F58">
        <f t="shared" si="4"/>
        <v>0.83543858081133293</v>
      </c>
      <c r="G58">
        <f t="shared" si="5"/>
        <v>0.2697820151547673</v>
      </c>
    </row>
    <row r="59" spans="1:7" ht="16.8" x14ac:dyDescent="0.3">
      <c r="A59" s="19">
        <v>53253</v>
      </c>
      <c r="B59" s="28">
        <f t="shared" si="0"/>
        <v>58</v>
      </c>
      <c r="C59">
        <f t="shared" si="1"/>
        <v>0.58585858585858586</v>
      </c>
      <c r="D59">
        <f t="shared" si="2"/>
        <v>0.5757575757575758</v>
      </c>
      <c r="E59">
        <f t="shared" si="3"/>
        <v>0.21690442598171081</v>
      </c>
      <c r="F59">
        <f t="shared" si="4"/>
        <v>0.48745674975279485</v>
      </c>
      <c r="G59">
        <f t="shared" si="5"/>
        <v>8.8300826004780952E-2</v>
      </c>
    </row>
    <row r="60" spans="1:7" ht="16.8" x14ac:dyDescent="0.3">
      <c r="A60" s="19">
        <v>44689</v>
      </c>
      <c r="B60" s="28">
        <f t="shared" si="0"/>
        <v>59</v>
      </c>
      <c r="C60">
        <f t="shared" si="1"/>
        <v>0.59595959595959591</v>
      </c>
      <c r="D60">
        <f t="shared" si="2"/>
        <v>0.58585858585858586</v>
      </c>
      <c r="E60">
        <f t="shared" si="3"/>
        <v>0.24290265588608936</v>
      </c>
      <c r="F60">
        <f t="shared" si="4"/>
        <v>0.31720470939811052</v>
      </c>
      <c r="G60">
        <f t="shared" si="5"/>
        <v>0.26865387646047534</v>
      </c>
    </row>
    <row r="61" spans="1:7" ht="16.8" x14ac:dyDescent="0.3">
      <c r="A61" s="19">
        <v>56253</v>
      </c>
      <c r="B61" s="28">
        <f t="shared" si="0"/>
        <v>60</v>
      </c>
      <c r="C61">
        <f t="shared" si="1"/>
        <v>0.60606060606060608</v>
      </c>
      <c r="D61">
        <f t="shared" si="2"/>
        <v>0.59595959595959591</v>
      </c>
      <c r="E61">
        <f t="shared" si="3"/>
        <v>0.26906613785431421</v>
      </c>
      <c r="F61">
        <f t="shared" si="4"/>
        <v>0.54938889368275245</v>
      </c>
      <c r="G61">
        <f t="shared" si="5"/>
        <v>4.6570702276843456E-2</v>
      </c>
    </row>
    <row r="62" spans="1:7" ht="16.8" x14ac:dyDescent="0.3">
      <c r="A62" s="19">
        <v>48432</v>
      </c>
      <c r="B62" s="28">
        <f t="shared" si="0"/>
        <v>61</v>
      </c>
      <c r="C62">
        <f t="shared" si="1"/>
        <v>0.61616161616161613</v>
      </c>
      <c r="D62">
        <f t="shared" si="2"/>
        <v>0.60606060606060608</v>
      </c>
      <c r="E62">
        <f t="shared" si="3"/>
        <v>0.29541514183523793</v>
      </c>
      <c r="F62">
        <f t="shared" si="4"/>
        <v>0.38918732525532707</v>
      </c>
      <c r="G62">
        <f t="shared" si="5"/>
        <v>0.21687328080527901</v>
      </c>
    </row>
    <row r="63" spans="1:7" ht="16.8" x14ac:dyDescent="0.3">
      <c r="A63" s="19">
        <v>48432</v>
      </c>
      <c r="B63" s="28">
        <f t="shared" si="0"/>
        <v>62</v>
      </c>
      <c r="C63">
        <f t="shared" si="1"/>
        <v>0.6262626262626263</v>
      </c>
      <c r="D63">
        <f t="shared" si="2"/>
        <v>0.61616161616161613</v>
      </c>
      <c r="E63">
        <f t="shared" si="3"/>
        <v>0.32197089018198854</v>
      </c>
      <c r="F63">
        <f t="shared" si="4"/>
        <v>0.38918732525532707</v>
      </c>
      <c r="G63">
        <f t="shared" si="5"/>
        <v>0.22697429090628907</v>
      </c>
    </row>
    <row r="64" spans="1:7" ht="16.8" x14ac:dyDescent="0.3">
      <c r="A64" s="19">
        <v>30899</v>
      </c>
      <c r="B64" s="28">
        <f t="shared" si="0"/>
        <v>63</v>
      </c>
      <c r="C64">
        <f t="shared" si="1"/>
        <v>0.63636363636363635</v>
      </c>
      <c r="D64">
        <f t="shared" si="2"/>
        <v>0.6262626262626263</v>
      </c>
      <c r="E64">
        <f t="shared" si="3"/>
        <v>0.34875569551704472</v>
      </c>
      <c r="F64">
        <f t="shared" si="4"/>
        <v>0.11690423467936201</v>
      </c>
      <c r="G64">
        <f t="shared" si="5"/>
        <v>0.50935839158326424</v>
      </c>
    </row>
    <row r="65" spans="1:7" ht="16.8" x14ac:dyDescent="0.3">
      <c r="A65" s="19">
        <v>61787</v>
      </c>
      <c r="B65" s="28">
        <f t="shared" si="0"/>
        <v>64</v>
      </c>
      <c r="C65">
        <f t="shared" si="1"/>
        <v>0.64646464646464652</v>
      </c>
      <c r="D65">
        <f t="shared" si="2"/>
        <v>0.63636363636363635</v>
      </c>
      <c r="E65">
        <f t="shared" si="3"/>
        <v>0.37579311452538</v>
      </c>
      <c r="F65">
        <f t="shared" si="4"/>
        <v>0.65949351562804015</v>
      </c>
      <c r="G65">
        <f t="shared" si="5"/>
        <v>2.3129879264403796E-2</v>
      </c>
    </row>
    <row r="66" spans="1:7" ht="16.8" x14ac:dyDescent="0.3">
      <c r="A66" s="19">
        <v>88347</v>
      </c>
      <c r="B66" s="28">
        <f t="shared" si="0"/>
        <v>65</v>
      </c>
      <c r="C66">
        <f t="shared" si="1"/>
        <v>0.65656565656565657</v>
      </c>
      <c r="D66">
        <f t="shared" si="2"/>
        <v>0.64646464646464652</v>
      </c>
      <c r="E66">
        <f t="shared" si="3"/>
        <v>0.40310812065628565</v>
      </c>
      <c r="F66">
        <f t="shared" si="4"/>
        <v>0.96313949970376622</v>
      </c>
      <c r="G66">
        <f t="shared" si="5"/>
        <v>0.3166748532391197</v>
      </c>
    </row>
    <row r="67" spans="1:7" ht="16.8" x14ac:dyDescent="0.3">
      <c r="A67" s="19">
        <v>33051</v>
      </c>
      <c r="B67" s="28">
        <f t="shared" ref="B67:B101" si="6">ROW()-1</f>
        <v>66</v>
      </c>
      <c r="C67">
        <f t="shared" ref="C67:C101" si="7">B67/COUNT($A$2:$A$101)</f>
        <v>0.66666666666666663</v>
      </c>
      <c r="D67">
        <f t="shared" ref="D67:D101" si="8">(B67-1)/COUNT($A$2:$A$101)</f>
        <v>0.65656565656565657</v>
      </c>
      <c r="E67">
        <f t="shared" ref="E67:E101" si="9">IF(C67&lt;1,_xlfn.NORM.S.INV(C67),"")</f>
        <v>0.4307272992954575</v>
      </c>
      <c r="F67">
        <f t="shared" ref="F67:F101" si="10">_xlfn.NORM.DIST(A67,$J$1,$J$2,TRUE)</f>
        <v>0.14029067107342777</v>
      </c>
      <c r="G67">
        <f t="shared" ref="G67:G101" si="11">ABS(F67-D67)</f>
        <v>0.51627498549222883</v>
      </c>
    </row>
    <row r="68" spans="1:7" ht="16.8" x14ac:dyDescent="0.3">
      <c r="A68" s="19">
        <v>7500</v>
      </c>
      <c r="B68" s="28">
        <f t="shared" si="6"/>
        <v>67</v>
      </c>
      <c r="C68">
        <f t="shared" si="7"/>
        <v>0.6767676767676768</v>
      </c>
      <c r="D68">
        <f t="shared" si="8"/>
        <v>0.66666666666666663</v>
      </c>
      <c r="E68">
        <f t="shared" si="9"/>
        <v>0.45867906969409378</v>
      </c>
      <c r="F68">
        <f t="shared" si="10"/>
        <v>8.1094339209447416E-3</v>
      </c>
      <c r="G68">
        <f t="shared" si="11"/>
        <v>0.65855723274572187</v>
      </c>
    </row>
    <row r="69" spans="1:7" ht="16.8" x14ac:dyDescent="0.3">
      <c r="A69" s="19">
        <v>33316</v>
      </c>
      <c r="B69" s="28">
        <f t="shared" si="6"/>
        <v>68</v>
      </c>
      <c r="C69">
        <f t="shared" si="7"/>
        <v>0.68686868686868685</v>
      </c>
      <c r="D69">
        <f t="shared" si="8"/>
        <v>0.6767676767676768</v>
      </c>
      <c r="E69">
        <f t="shared" si="9"/>
        <v>0.48699393885129044</v>
      </c>
      <c r="F69">
        <f t="shared" si="10"/>
        <v>0.14337624012852093</v>
      </c>
      <c r="G69">
        <f t="shared" si="11"/>
        <v>0.53339143663915589</v>
      </c>
    </row>
    <row r="70" spans="1:7" ht="16.8" x14ac:dyDescent="0.3">
      <c r="A70" s="19">
        <v>40321</v>
      </c>
      <c r="B70" s="28">
        <f t="shared" si="6"/>
        <v>69</v>
      </c>
      <c r="C70">
        <f t="shared" si="7"/>
        <v>0.69696969696969702</v>
      </c>
      <c r="D70">
        <f t="shared" si="8"/>
        <v>0.68686868686868685</v>
      </c>
      <c r="E70">
        <f t="shared" si="9"/>
        <v>0.51570479369303868</v>
      </c>
      <c r="F70">
        <f t="shared" si="10"/>
        <v>0.24132993629900795</v>
      </c>
      <c r="G70">
        <f t="shared" si="11"/>
        <v>0.4455387505696789</v>
      </c>
    </row>
    <row r="71" spans="1:7" ht="16.8" x14ac:dyDescent="0.3">
      <c r="A71" s="19">
        <v>40689</v>
      </c>
      <c r="B71" s="28">
        <f t="shared" si="6"/>
        <v>70</v>
      </c>
      <c r="C71">
        <f t="shared" si="7"/>
        <v>0.70707070707070707</v>
      </c>
      <c r="D71">
        <f t="shared" si="8"/>
        <v>0.69696969696969702</v>
      </c>
      <c r="E71">
        <f t="shared" si="9"/>
        <v>0.5448472393466709</v>
      </c>
      <c r="F71">
        <f t="shared" si="10"/>
        <v>0.24731971874949055</v>
      </c>
      <c r="G71">
        <f t="shared" si="11"/>
        <v>0.44964997822020647</v>
      </c>
    </row>
    <row r="72" spans="1:7" ht="16.8" x14ac:dyDescent="0.3">
      <c r="A72" s="19">
        <v>54984</v>
      </c>
      <c r="B72" s="28">
        <f t="shared" si="6"/>
        <v>71</v>
      </c>
      <c r="C72">
        <f t="shared" si="7"/>
        <v>0.71717171717171713</v>
      </c>
      <c r="D72">
        <f t="shared" si="8"/>
        <v>0.70707070707070707</v>
      </c>
      <c r="E72">
        <f t="shared" si="9"/>
        <v>0.5744599931693577</v>
      </c>
      <c r="F72">
        <f t="shared" si="10"/>
        <v>0.52325073068651828</v>
      </c>
      <c r="G72">
        <f t="shared" si="11"/>
        <v>0.18381997638418879</v>
      </c>
    </row>
    <row r="73" spans="1:7" ht="16.8" x14ac:dyDescent="0.3">
      <c r="A73" s="19">
        <v>43641</v>
      </c>
      <c r="B73" s="28">
        <f t="shared" si="6"/>
        <v>72</v>
      </c>
      <c r="C73">
        <f t="shared" si="7"/>
        <v>0.72727272727272729</v>
      </c>
      <c r="D73">
        <f t="shared" si="8"/>
        <v>0.71717171717171713</v>
      </c>
      <c r="E73">
        <f t="shared" si="9"/>
        <v>0.60458534658323715</v>
      </c>
      <c r="F73">
        <f t="shared" si="10"/>
        <v>0.29809983545356528</v>
      </c>
      <c r="G73">
        <f t="shared" si="11"/>
        <v>0.41907188171815185</v>
      </c>
    </row>
    <row r="74" spans="1:7" ht="16.8" x14ac:dyDescent="0.3">
      <c r="A74" s="19">
        <v>70038</v>
      </c>
      <c r="B74" s="28">
        <f t="shared" si="6"/>
        <v>73</v>
      </c>
      <c r="C74">
        <f t="shared" si="7"/>
        <v>0.73737373737373735</v>
      </c>
      <c r="D74">
        <f t="shared" si="8"/>
        <v>0.72727272727272729</v>
      </c>
      <c r="E74">
        <f t="shared" si="9"/>
        <v>0.63526970987659626</v>
      </c>
      <c r="F74">
        <f t="shared" si="10"/>
        <v>0.79924684035643945</v>
      </c>
      <c r="G74">
        <f t="shared" si="11"/>
        <v>7.1974113083712155E-2</v>
      </c>
    </row>
    <row r="75" spans="1:7" ht="16.8" x14ac:dyDescent="0.3">
      <c r="A75" s="19">
        <v>74068</v>
      </c>
      <c r="B75" s="28">
        <f t="shared" si="6"/>
        <v>74</v>
      </c>
      <c r="C75">
        <f t="shared" si="7"/>
        <v>0.74747474747474751</v>
      </c>
      <c r="D75">
        <f t="shared" si="8"/>
        <v>0.73737373737373735</v>
      </c>
      <c r="E75">
        <f t="shared" si="9"/>
        <v>0.66656425919790419</v>
      </c>
      <c r="F75">
        <f t="shared" si="10"/>
        <v>0.85265957945453996</v>
      </c>
      <c r="G75">
        <f t="shared" si="11"/>
        <v>0.11528584208080261</v>
      </c>
    </row>
    <row r="76" spans="1:7" ht="16.8" x14ac:dyDescent="0.3">
      <c r="A76" s="19">
        <v>71706</v>
      </c>
      <c r="B76" s="28">
        <f t="shared" si="6"/>
        <v>75</v>
      </c>
      <c r="C76">
        <f t="shared" si="7"/>
        <v>0.75757575757575757</v>
      </c>
      <c r="D76">
        <f t="shared" si="8"/>
        <v>0.74747474747474751</v>
      </c>
      <c r="E76">
        <f t="shared" si="9"/>
        <v>0.69852571034506028</v>
      </c>
      <c r="F76">
        <f t="shared" si="10"/>
        <v>0.82262824273953961</v>
      </c>
      <c r="G76">
        <f t="shared" si="11"/>
        <v>7.5153495264792092E-2</v>
      </c>
    </row>
    <row r="77" spans="1:7" ht="16.8" x14ac:dyDescent="0.3">
      <c r="A77" s="19">
        <v>48948</v>
      </c>
      <c r="B77" s="28">
        <f t="shared" si="6"/>
        <v>76</v>
      </c>
      <c r="C77">
        <f t="shared" si="7"/>
        <v>0.76767676767676762</v>
      </c>
      <c r="D77">
        <f t="shared" si="8"/>
        <v>0.75757575757575757</v>
      </c>
      <c r="E77">
        <f t="shared" si="9"/>
        <v>0.73121725112971658</v>
      </c>
      <c r="F77">
        <f t="shared" si="10"/>
        <v>0.39948483629376541</v>
      </c>
      <c r="G77">
        <f t="shared" si="11"/>
        <v>0.35809092128199216</v>
      </c>
    </row>
    <row r="78" spans="1:7" ht="16.8" x14ac:dyDescent="0.3">
      <c r="A78" s="19">
        <v>37758</v>
      </c>
      <c r="B78" s="28">
        <f t="shared" si="6"/>
        <v>77</v>
      </c>
      <c r="C78">
        <f t="shared" si="7"/>
        <v>0.77777777777777779</v>
      </c>
      <c r="D78">
        <f t="shared" si="8"/>
        <v>0.76767676767676762</v>
      </c>
      <c r="E78">
        <f t="shared" si="9"/>
        <v>0.76470967378638721</v>
      </c>
      <c r="F78">
        <f t="shared" si="10"/>
        <v>0.20187731358452471</v>
      </c>
      <c r="G78">
        <f t="shared" si="11"/>
        <v>0.56579945409224286</v>
      </c>
    </row>
    <row r="79" spans="1:7" ht="16.8" x14ac:dyDescent="0.3">
      <c r="A79" s="19">
        <v>50437</v>
      </c>
      <c r="B79" s="28">
        <f t="shared" si="6"/>
        <v>78</v>
      </c>
      <c r="C79">
        <f t="shared" si="7"/>
        <v>0.78787878787878785</v>
      </c>
      <c r="D79">
        <f t="shared" si="8"/>
        <v>0.77777777777777779</v>
      </c>
      <c r="E79">
        <f t="shared" si="9"/>
        <v>0.79908276213517815</v>
      </c>
      <c r="F79">
        <f t="shared" si="10"/>
        <v>0.42956993776104702</v>
      </c>
      <c r="G79">
        <f t="shared" si="11"/>
        <v>0.34820784001673077</v>
      </c>
    </row>
    <row r="80" spans="1:7" ht="16.8" x14ac:dyDescent="0.3">
      <c r="A80" s="19">
        <v>65316</v>
      </c>
      <c r="B80" s="28">
        <f t="shared" si="6"/>
        <v>79</v>
      </c>
      <c r="C80">
        <f t="shared" si="7"/>
        <v>0.79797979797979801</v>
      </c>
      <c r="D80">
        <f t="shared" si="8"/>
        <v>0.78787878787878785</v>
      </c>
      <c r="E80">
        <f t="shared" si="9"/>
        <v>0.83442700653190349</v>
      </c>
      <c r="F80">
        <f t="shared" si="10"/>
        <v>0.72376947151807236</v>
      </c>
      <c r="G80">
        <f t="shared" si="11"/>
        <v>6.4109316360715485E-2</v>
      </c>
    </row>
    <row r="81" spans="1:7" ht="16.8" x14ac:dyDescent="0.3">
      <c r="A81" s="19">
        <v>80067</v>
      </c>
      <c r="B81" s="28">
        <f t="shared" si="6"/>
        <v>80</v>
      </c>
      <c r="C81">
        <f t="shared" si="7"/>
        <v>0.80808080808080807</v>
      </c>
      <c r="D81">
        <f t="shared" si="8"/>
        <v>0.79797979797979801</v>
      </c>
      <c r="E81">
        <f t="shared" si="9"/>
        <v>0.8708457453650692</v>
      </c>
      <c r="F81">
        <f t="shared" si="10"/>
        <v>0.91292424221553992</v>
      </c>
      <c r="G81">
        <f t="shared" si="11"/>
        <v>0.1149444442357419</v>
      </c>
    </row>
    <row r="82" spans="1:7" ht="16.8" x14ac:dyDescent="0.3">
      <c r="A82" s="19">
        <v>32644</v>
      </c>
      <c r="B82" s="28">
        <f t="shared" si="6"/>
        <v>81</v>
      </c>
      <c r="C82">
        <f t="shared" si="7"/>
        <v>0.81818181818181823</v>
      </c>
      <c r="D82">
        <f t="shared" si="8"/>
        <v>0.80808080808080807</v>
      </c>
      <c r="E82">
        <f t="shared" si="9"/>
        <v>0.90845786853738464</v>
      </c>
      <c r="F82">
        <f t="shared" si="10"/>
        <v>0.13564010087141673</v>
      </c>
      <c r="G82">
        <f t="shared" si="11"/>
        <v>0.67244070720939131</v>
      </c>
    </row>
    <row r="83" spans="1:7" ht="16.8" x14ac:dyDescent="0.3">
      <c r="A83" s="19">
        <v>66664</v>
      </c>
      <c r="B83" s="28">
        <f t="shared" si="6"/>
        <v>82</v>
      </c>
      <c r="C83">
        <f t="shared" si="7"/>
        <v>0.82828282828282829</v>
      </c>
      <c r="D83">
        <f t="shared" si="8"/>
        <v>0.81818181818181823</v>
      </c>
      <c r="E83">
        <f t="shared" si="9"/>
        <v>0.94740127155712228</v>
      </c>
      <c r="F83">
        <f t="shared" si="10"/>
        <v>0.746647298705572</v>
      </c>
      <c r="G83">
        <f t="shared" si="11"/>
        <v>7.1534519476246228E-2</v>
      </c>
    </row>
    <row r="84" spans="1:7" ht="16.8" x14ac:dyDescent="0.3">
      <c r="A84" s="19">
        <v>30992</v>
      </c>
      <c r="B84" s="28">
        <f t="shared" si="6"/>
        <v>83</v>
      </c>
      <c r="C84">
        <f t="shared" si="7"/>
        <v>0.83838383838383834</v>
      </c>
      <c r="D84">
        <f t="shared" si="8"/>
        <v>0.82828282828282829</v>
      </c>
      <c r="E84">
        <f t="shared" si="9"/>
        <v>0.98783732744852548</v>
      </c>
      <c r="F84">
        <f t="shared" si="10"/>
        <v>0.11785398899241904</v>
      </c>
      <c r="G84">
        <f t="shared" si="11"/>
        <v>0.71042883929040923</v>
      </c>
    </row>
    <row r="85" spans="1:7" ht="16.8" x14ac:dyDescent="0.3">
      <c r="A85" s="19">
        <v>55158</v>
      </c>
      <c r="B85" s="28">
        <f t="shared" si="6"/>
        <v>84</v>
      </c>
      <c r="C85">
        <f t="shared" si="7"/>
        <v>0.84848484848484851</v>
      </c>
      <c r="D85">
        <f t="shared" si="8"/>
        <v>0.83838383838383834</v>
      </c>
      <c r="E85">
        <f t="shared" si="9"/>
        <v>1.0299567622253687</v>
      </c>
      <c r="F85">
        <f t="shared" si="10"/>
        <v>0.52684316277933074</v>
      </c>
      <c r="G85">
        <f t="shared" si="11"/>
        <v>0.3115406756045076</v>
      </c>
    </row>
    <row r="86" spans="1:7" ht="16.8" x14ac:dyDescent="0.3">
      <c r="A86" s="19">
        <v>70321</v>
      </c>
      <c r="B86" s="28">
        <f t="shared" si="6"/>
        <v>85</v>
      </c>
      <c r="C86">
        <f t="shared" si="7"/>
        <v>0.85858585858585856</v>
      </c>
      <c r="D86">
        <f t="shared" si="8"/>
        <v>0.84848484848484851</v>
      </c>
      <c r="E86">
        <f t="shared" si="9"/>
        <v>1.0739875026403316</v>
      </c>
      <c r="F86">
        <f t="shared" si="10"/>
        <v>0.80333914242648152</v>
      </c>
      <c r="G86">
        <f t="shared" si="11"/>
        <v>4.5145706058366986E-2</v>
      </c>
    </row>
    <row r="87" spans="1:7" ht="16.8" x14ac:dyDescent="0.3">
      <c r="A87" s="19">
        <v>44794</v>
      </c>
      <c r="B87" s="28">
        <f t="shared" si="6"/>
        <v>86</v>
      </c>
      <c r="C87">
        <f t="shared" si="7"/>
        <v>0.86868686868686873</v>
      </c>
      <c r="D87">
        <f t="shared" si="8"/>
        <v>0.85858585858585856</v>
      </c>
      <c r="E87">
        <f t="shared" si="9"/>
        <v>1.1202053547494899</v>
      </c>
      <c r="F87">
        <f t="shared" si="10"/>
        <v>0.31914713402115558</v>
      </c>
      <c r="G87">
        <f t="shared" si="11"/>
        <v>0.53943872456470299</v>
      </c>
    </row>
    <row r="88" spans="1:7" ht="16.8" x14ac:dyDescent="0.3">
      <c r="A88" s="19">
        <v>43263</v>
      </c>
      <c r="B88" s="28">
        <f t="shared" si="6"/>
        <v>87</v>
      </c>
      <c r="C88">
        <f t="shared" si="7"/>
        <v>0.87878787878787878</v>
      </c>
      <c r="D88">
        <f t="shared" si="8"/>
        <v>0.86868686868686873</v>
      </c>
      <c r="E88">
        <f t="shared" si="9"/>
        <v>1.168948844531482</v>
      </c>
      <c r="F88">
        <f t="shared" si="10"/>
        <v>0.2913399234690171</v>
      </c>
      <c r="G88">
        <f t="shared" si="11"/>
        <v>0.57734694521785168</v>
      </c>
    </row>
    <row r="89" spans="1:7" ht="16.8" x14ac:dyDescent="0.3">
      <c r="A89" s="19">
        <v>77568</v>
      </c>
      <c r="B89" s="28">
        <f t="shared" si="6"/>
        <v>88</v>
      </c>
      <c r="C89">
        <f t="shared" si="7"/>
        <v>0.88888888888888884</v>
      </c>
      <c r="D89">
        <f t="shared" si="8"/>
        <v>0.87878787878787878</v>
      </c>
      <c r="E89">
        <f t="shared" si="9"/>
        <v>1.2206403488473503</v>
      </c>
      <c r="F89">
        <f t="shared" si="10"/>
        <v>0.89053899974255613</v>
      </c>
      <c r="G89">
        <f t="shared" si="11"/>
        <v>1.1751120954677341E-2</v>
      </c>
    </row>
    <row r="90" spans="1:7" ht="16.8" x14ac:dyDescent="0.3">
      <c r="A90" s="19">
        <v>38643</v>
      </c>
      <c r="B90" s="28">
        <f t="shared" si="6"/>
        <v>89</v>
      </c>
      <c r="C90">
        <f t="shared" si="7"/>
        <v>0.89898989898989901</v>
      </c>
      <c r="D90">
        <f t="shared" si="8"/>
        <v>0.88888888888888884</v>
      </c>
      <c r="E90">
        <f t="shared" si="9"/>
        <v>1.2758170414017851</v>
      </c>
      <c r="F90">
        <f t="shared" si="10"/>
        <v>0.21504342110726682</v>
      </c>
      <c r="G90">
        <f t="shared" si="11"/>
        <v>0.67384546778162202</v>
      </c>
    </row>
    <row r="91" spans="1:7" ht="16.8" x14ac:dyDescent="0.3">
      <c r="A91" s="19">
        <v>36038</v>
      </c>
      <c r="B91" s="28">
        <f t="shared" si="6"/>
        <v>90</v>
      </c>
      <c r="C91">
        <f t="shared" si="7"/>
        <v>0.90909090909090906</v>
      </c>
      <c r="D91">
        <f t="shared" si="8"/>
        <v>0.89898989898989901</v>
      </c>
      <c r="E91">
        <f t="shared" si="9"/>
        <v>1.3351777361189361</v>
      </c>
      <c r="F91">
        <f t="shared" si="10"/>
        <v>0.17771076249194243</v>
      </c>
      <c r="G91">
        <f t="shared" si="11"/>
        <v>0.72127913649795661</v>
      </c>
    </row>
    <row r="92" spans="1:7" ht="16.8" x14ac:dyDescent="0.3">
      <c r="A92" s="19">
        <v>64590</v>
      </c>
      <c r="B92" s="28">
        <f t="shared" si="6"/>
        <v>91</v>
      </c>
      <c r="C92">
        <f t="shared" si="7"/>
        <v>0.91919191919191923</v>
      </c>
      <c r="D92">
        <f t="shared" si="8"/>
        <v>0.90909090909090906</v>
      </c>
      <c r="E92">
        <f t="shared" si="9"/>
        <v>1.3996566480498205</v>
      </c>
      <c r="F92">
        <f t="shared" si="10"/>
        <v>0.71104148197573802</v>
      </c>
      <c r="G92">
        <f t="shared" si="11"/>
        <v>0.19804942711517104</v>
      </c>
    </row>
    <row r="93" spans="1:7" ht="16.8" x14ac:dyDescent="0.3">
      <c r="A93" s="19">
        <v>46931</v>
      </c>
      <c r="B93" s="28">
        <f t="shared" si="6"/>
        <v>92</v>
      </c>
      <c r="C93">
        <f t="shared" si="7"/>
        <v>0.92929292929292928</v>
      </c>
      <c r="D93">
        <f t="shared" si="8"/>
        <v>0.91919191919191923</v>
      </c>
      <c r="E93">
        <f t="shared" si="9"/>
        <v>1.4705452438880628</v>
      </c>
      <c r="F93">
        <f t="shared" si="10"/>
        <v>0.35969595175164509</v>
      </c>
      <c r="G93">
        <f t="shared" si="11"/>
        <v>0.55949596744027419</v>
      </c>
    </row>
    <row r="94" spans="1:7" ht="16.8" x14ac:dyDescent="0.3">
      <c r="A94" s="19">
        <v>40689</v>
      </c>
      <c r="B94" s="28">
        <f t="shared" si="6"/>
        <v>93</v>
      </c>
      <c r="C94">
        <f t="shared" si="7"/>
        <v>0.93939393939393945</v>
      </c>
      <c r="D94">
        <f t="shared" si="8"/>
        <v>0.92929292929292928</v>
      </c>
      <c r="E94">
        <f t="shared" si="9"/>
        <v>1.5497059007365894</v>
      </c>
      <c r="F94">
        <f t="shared" si="10"/>
        <v>0.24731971874949055</v>
      </c>
      <c r="G94">
        <f t="shared" si="11"/>
        <v>0.68197321054343873</v>
      </c>
    </row>
    <row r="95" spans="1:7" ht="16.8" x14ac:dyDescent="0.3">
      <c r="A95" s="19">
        <v>61482</v>
      </c>
      <c r="B95" s="28">
        <f t="shared" si="6"/>
        <v>94</v>
      </c>
      <c r="C95">
        <f t="shared" si="7"/>
        <v>0.9494949494949495</v>
      </c>
      <c r="D95">
        <f t="shared" si="8"/>
        <v>0.93939393939393945</v>
      </c>
      <c r="E95">
        <f t="shared" si="9"/>
        <v>1.6399762701332181</v>
      </c>
      <c r="F95">
        <f t="shared" si="10"/>
        <v>0.65367654462527014</v>
      </c>
      <c r="G95">
        <f t="shared" si="11"/>
        <v>0.28571739476866931</v>
      </c>
    </row>
    <row r="96" spans="1:7" ht="16.8" x14ac:dyDescent="0.3">
      <c r="A96" s="19">
        <v>80910</v>
      </c>
      <c r="B96" s="28">
        <f t="shared" si="6"/>
        <v>95</v>
      </c>
      <c r="C96">
        <f t="shared" si="7"/>
        <v>0.95959595959595956</v>
      </c>
      <c r="D96">
        <f t="shared" si="8"/>
        <v>0.9494949494949495</v>
      </c>
      <c r="E96">
        <f t="shared" si="9"/>
        <v>1.7460165226992124</v>
      </c>
      <c r="F96">
        <f t="shared" si="10"/>
        <v>0.91964653286462728</v>
      </c>
      <c r="G96">
        <f t="shared" si="11"/>
        <v>2.9848416630322228E-2</v>
      </c>
    </row>
    <row r="97" spans="1:7" ht="16.8" x14ac:dyDescent="0.3">
      <c r="A97" s="19">
        <v>36273</v>
      </c>
      <c r="B97" s="28">
        <f t="shared" si="6"/>
        <v>96</v>
      </c>
      <c r="C97">
        <f t="shared" si="7"/>
        <v>0.96969696969696972</v>
      </c>
      <c r="D97">
        <f t="shared" si="8"/>
        <v>0.95959595959595956</v>
      </c>
      <c r="E97">
        <f t="shared" si="9"/>
        <v>1.8763585618945948</v>
      </c>
      <c r="F97">
        <f t="shared" si="10"/>
        <v>0.18090051913318414</v>
      </c>
      <c r="G97">
        <f t="shared" si="11"/>
        <v>0.77869544046277539</v>
      </c>
    </row>
    <row r="98" spans="1:7" ht="16.8" x14ac:dyDescent="0.3">
      <c r="A98" s="19">
        <v>94642</v>
      </c>
      <c r="B98" s="28">
        <f t="shared" si="6"/>
        <v>97</v>
      </c>
      <c r="C98">
        <f t="shared" si="7"/>
        <v>0.97979797979797978</v>
      </c>
      <c r="D98">
        <f t="shared" si="8"/>
        <v>0.96969696969696972</v>
      </c>
      <c r="E98">
        <f t="shared" si="9"/>
        <v>2.0495942663939899</v>
      </c>
      <c r="F98">
        <f t="shared" si="10"/>
        <v>0.98277505825155942</v>
      </c>
      <c r="G98">
        <f t="shared" si="11"/>
        <v>1.3078088554589695E-2</v>
      </c>
    </row>
    <row r="99" spans="1:7" ht="16.8" x14ac:dyDescent="0.3">
      <c r="A99" s="19">
        <v>92910</v>
      </c>
      <c r="B99" s="28">
        <f t="shared" si="6"/>
        <v>98</v>
      </c>
      <c r="C99">
        <f t="shared" si="7"/>
        <v>0.98989898989898994</v>
      </c>
      <c r="D99">
        <f t="shared" si="8"/>
        <v>0.97979797979797978</v>
      </c>
      <c r="E99">
        <f t="shared" si="9"/>
        <v>2.3225745319461941</v>
      </c>
      <c r="F99">
        <f t="shared" si="10"/>
        <v>0.97856394952626036</v>
      </c>
      <c r="G99">
        <f t="shared" si="11"/>
        <v>1.2340302717194218E-3</v>
      </c>
    </row>
    <row r="100" spans="1:7" ht="16.8" x14ac:dyDescent="0.3">
      <c r="A100" s="19">
        <v>77298</v>
      </c>
      <c r="B100" s="28">
        <f t="shared" si="6"/>
        <v>99</v>
      </c>
      <c r="C100">
        <f t="shared" si="7"/>
        <v>1</v>
      </c>
      <c r="D100">
        <f t="shared" si="8"/>
        <v>0.98989898989898994</v>
      </c>
      <c r="E100" t="str">
        <f t="shared" si="9"/>
        <v/>
      </c>
      <c r="F100">
        <f t="shared" si="10"/>
        <v>0.88789300512637037</v>
      </c>
      <c r="G100">
        <f t="shared" si="11"/>
        <v>0.10200598477261957</v>
      </c>
    </row>
    <row r="101" spans="1:7" ht="16.8" x14ac:dyDescent="0.3">
      <c r="A101" s="19">
        <v>44300</v>
      </c>
      <c r="B101" s="28">
        <f t="shared" si="6"/>
        <v>100</v>
      </c>
      <c r="C101">
        <f t="shared" si="7"/>
        <v>1.0101010101010102</v>
      </c>
      <c r="D101">
        <f t="shared" si="8"/>
        <v>1</v>
      </c>
      <c r="E101" t="str">
        <f t="shared" si="9"/>
        <v/>
      </c>
      <c r="F101">
        <f t="shared" si="10"/>
        <v>0.31005260806324553</v>
      </c>
      <c r="G101">
        <f t="shared" si="11"/>
        <v>0.68994739193675447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D65531C721006442AFE33DD3F61FB1F9" ma:contentTypeVersion="9" ma:contentTypeDescription="Yeni belge oluşturun." ma:contentTypeScope="" ma:versionID="aea5cd713e52f4ddf98f9dda85591960">
  <xsd:schema xmlns:xsd="http://www.w3.org/2001/XMLSchema" xmlns:xs="http://www.w3.org/2001/XMLSchema" xmlns:p="http://schemas.microsoft.com/office/2006/metadata/properties" xmlns:ns3="311a3ffc-e206-4322-bfa4-4d4db0bffdba" targetNamespace="http://schemas.microsoft.com/office/2006/metadata/properties" ma:root="true" ma:fieldsID="704952204c17b19c760c22023435222a" ns3:_="">
    <xsd:import namespace="311a3ffc-e206-4322-bfa4-4d4db0bffdb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a3ffc-e206-4322-bfa4-4d4db0bffd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F8FCA0-3CE6-44FD-BA17-E5A6F267AE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0C3E39-2B24-4345-A2C6-C18F922F0B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a3ffc-e206-4322-bfa4-4d4db0bffd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F5896C-ED4B-4A6F-A8DE-2033FCF63C3A}">
  <ds:schemaRefs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311a3ffc-e206-4322-bfa4-4d4db0bffdb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</vt:lpstr>
      <vt:lpstr>3.2 Sıklık, Yüzde</vt:lpstr>
      <vt:lpstr>4.1 Çapraz Tablo</vt:lpstr>
      <vt:lpstr>6.22 Kitle Oran Kestirimi</vt:lpstr>
      <vt:lpstr>7.1 Tek Kitle Ortalama Hipotezt</vt:lpstr>
      <vt:lpstr>5.1 İki Kitle Varyans Homojenli</vt:lpstr>
      <vt:lpstr>11.4 Varsayım Kontrolleri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Ramazan Erduran</dc:creator>
  <cp:lastModifiedBy>İlkay Baytar</cp:lastModifiedBy>
  <dcterms:created xsi:type="dcterms:W3CDTF">2015-06-05T18:19:34Z</dcterms:created>
  <dcterms:modified xsi:type="dcterms:W3CDTF">2021-12-31T20:09:44Z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0x010100D65531C721006442AFE33DD3F61FB1F9</vt:lpwstr>
  </property>
</Properties>
</file>